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<sst xmlns="http://schemas.openxmlformats.org/spreadsheetml/2006/main" count="6647" uniqueCount="2648">
  <si>
    <t>Timestamp</t>
  </si>
  <si>
    <t xml:space="preserve">Family Size  </t>
  </si>
  <si>
    <t>Family Number</t>
  </si>
  <si>
    <t xml:space="preserve">Family Leader's Cnic Number </t>
  </si>
  <si>
    <t>Family Leader's Name</t>
  </si>
  <si>
    <t xml:space="preserve">  Applicant Type  </t>
  </si>
  <si>
    <t xml:space="preserve">Surname of Applicant  </t>
  </si>
  <si>
    <t xml:space="preserve">Given Name of Applicant  </t>
  </si>
  <si>
    <t xml:space="preserve">Father's / Husband's Name  </t>
  </si>
  <si>
    <t xml:space="preserve">  Gender  </t>
  </si>
  <si>
    <t xml:space="preserve">Passport No.  </t>
  </si>
  <si>
    <t xml:space="preserve">Passport Date of Expiry  </t>
  </si>
  <si>
    <t xml:space="preserve">CNIC No.  </t>
  </si>
  <si>
    <t xml:space="preserve">Date of Birth  </t>
  </si>
  <si>
    <t xml:space="preserve">Blood Group  </t>
  </si>
  <si>
    <t xml:space="preserve">Present Postal Address  </t>
  </si>
  <si>
    <t>Moile Servie Provider</t>
  </si>
  <si>
    <t xml:space="preserve">Mobile No.  </t>
  </si>
  <si>
    <t>Whatsapp Number</t>
  </si>
  <si>
    <t xml:space="preserve">Mehram Name(In case of Female) </t>
  </si>
  <si>
    <t>Relationship with Mehram</t>
  </si>
  <si>
    <t xml:space="preserve">Nominee Name  </t>
  </si>
  <si>
    <t xml:space="preserve">Nominee CNIC No.  </t>
  </si>
  <si>
    <t>Relationship with Applicant</t>
  </si>
  <si>
    <t xml:space="preserve"> Nominee Mobile No.  </t>
  </si>
  <si>
    <t xml:space="preserve">Bank Account No.  (IBAN )  </t>
  </si>
  <si>
    <t>Account Title</t>
  </si>
  <si>
    <t>Column 27</t>
  </si>
  <si>
    <t xml:space="preserve">Muhammad farhan </t>
  </si>
  <si>
    <t>Short</t>
  </si>
  <si>
    <t>Farhan</t>
  </si>
  <si>
    <t>Muhammad</t>
  </si>
  <si>
    <t>Muhammad shafiq</t>
  </si>
  <si>
    <t>Male</t>
  </si>
  <si>
    <t>AT89040263</t>
  </si>
  <si>
    <t>O+</t>
  </si>
  <si>
    <t>Tara Chand road block 17 260 plot number iqbal turqi Manzil 2nd flour Kemari karachi near Kamran travel ajency</t>
  </si>
  <si>
    <t>Ufone</t>
  </si>
  <si>
    <t>03433480679</t>
  </si>
  <si>
    <t xml:space="preserve">Muhammad shafiq </t>
  </si>
  <si>
    <t>Father</t>
  </si>
  <si>
    <t>03348833610</t>
  </si>
  <si>
    <t>Pk28 BAHL 1076 1825 0122 9001</t>
  </si>
  <si>
    <t>SAMINA FARHAN / MUHAMMAD FARHAN</t>
  </si>
  <si>
    <t>muhammad.hanif</t>
  </si>
  <si>
    <t>Long</t>
  </si>
  <si>
    <t>Muhammad.hanif</t>
  </si>
  <si>
    <t>Muhammad.hanif ,</t>
  </si>
  <si>
    <t>Muhammad Rafiq</t>
  </si>
  <si>
    <t>BG6788112</t>
  </si>
  <si>
    <t>A+B POSITIVE</t>
  </si>
  <si>
    <t>MEHMODABAD #2</t>
  </si>
  <si>
    <t>Zong</t>
  </si>
  <si>
    <t>03113035877</t>
  </si>
  <si>
    <t>032220216</t>
  </si>
  <si>
    <t>M.Hanif</t>
  </si>
  <si>
    <t>own</t>
  </si>
  <si>
    <t>no</t>
  </si>
  <si>
    <t>M.hanif</t>
  </si>
  <si>
    <t>Ayesha w/o M.Hanif</t>
  </si>
  <si>
    <t>Female</t>
  </si>
  <si>
    <t>AR5298722</t>
  </si>
  <si>
    <t>B negative</t>
  </si>
  <si>
    <t>Mahmudabad</t>
  </si>
  <si>
    <t>03122472997</t>
  </si>
  <si>
    <t>Husband</t>
  </si>
  <si>
    <t>Ayesha</t>
  </si>
  <si>
    <t>Wife</t>
  </si>
  <si>
    <t>42301-1148725-7</t>
  </si>
  <si>
    <t>Muhammad Faizan Farooq</t>
  </si>
  <si>
    <t>Farooq</t>
  </si>
  <si>
    <t>Muhammad Faizan</t>
  </si>
  <si>
    <t>Muhammad Farooq</t>
  </si>
  <si>
    <t>DT8917252</t>
  </si>
  <si>
    <t>AB Positive</t>
  </si>
  <si>
    <t>Plot 3/8, Flat no. 301, Block 3G, Nazimabad no. 3, Karachi, Pakistan.</t>
  </si>
  <si>
    <t>+923222206487</t>
  </si>
  <si>
    <t>Muhammad Farhan</t>
  </si>
  <si>
    <t>42301-2351271-3</t>
  </si>
  <si>
    <t>Brother</t>
  </si>
  <si>
    <t>+923338235095</t>
  </si>
  <si>
    <t>PK46MPBL9931637140110817</t>
  </si>
  <si>
    <t>MUHAMMAD FAIZAN FAROOQ</t>
  </si>
  <si>
    <t>Muhammad Ibrahim</t>
  </si>
  <si>
    <t>FU8960372</t>
  </si>
  <si>
    <t>42301-8406037-7</t>
  </si>
  <si>
    <t>+923002271900</t>
  </si>
  <si>
    <t>Son</t>
  </si>
  <si>
    <t>03338235095</t>
  </si>
  <si>
    <t>Faizan</t>
  </si>
  <si>
    <t>Mashal</t>
  </si>
  <si>
    <t>BL4188672</t>
  </si>
  <si>
    <t>42301-3960867-2</t>
  </si>
  <si>
    <t>+923330937553</t>
  </si>
  <si>
    <t>Shahrukh Ghaffar</t>
  </si>
  <si>
    <t>42301-8562943-5</t>
  </si>
  <si>
    <t>03352924635</t>
  </si>
  <si>
    <t>Ali Asghar</t>
  </si>
  <si>
    <t>Mithabha</t>
  </si>
  <si>
    <t>ALI ASGHAR</t>
  </si>
  <si>
    <t>Mohammad Hussain</t>
  </si>
  <si>
    <t>WS1859821</t>
  </si>
  <si>
    <t>03342996530</t>
  </si>
  <si>
    <t>Self</t>
  </si>
  <si>
    <t>03212632793</t>
  </si>
  <si>
    <t>PK17MEZN0001480107719602</t>
  </si>
  <si>
    <t xml:space="preserve">ALI ASGHAR </t>
  </si>
  <si>
    <t xml:space="preserve">Mithabha </t>
  </si>
  <si>
    <t>AISHA</t>
  </si>
  <si>
    <t xml:space="preserve">Ali Asghar </t>
  </si>
  <si>
    <t>BA5162663</t>
  </si>
  <si>
    <t>O-</t>
  </si>
  <si>
    <t>03312542540</t>
  </si>
  <si>
    <t xml:space="preserve">ABDULLAH </t>
  </si>
  <si>
    <t xml:space="preserve">Naveed </t>
  </si>
  <si>
    <t xml:space="preserve">Abdullah </t>
  </si>
  <si>
    <t>BE9679064</t>
  </si>
  <si>
    <t>O positive</t>
  </si>
  <si>
    <t>Mehran square Clifton teen talwar Karachi</t>
  </si>
  <si>
    <t>Warid</t>
  </si>
  <si>
    <t>03238229941</t>
  </si>
  <si>
    <t>Anisa</t>
  </si>
  <si>
    <t xml:space="preserve">Mother </t>
  </si>
  <si>
    <t>03323221762</t>
  </si>
  <si>
    <t>Pk72HABB0058557000031503</t>
  </si>
  <si>
    <t>42401-4773113-9</t>
  </si>
  <si>
    <t>AHMED</t>
  </si>
  <si>
    <t>ALI</t>
  </si>
  <si>
    <t>QAMAR UN NISA</t>
  </si>
  <si>
    <t>IRTEZA IMTIAZ</t>
  </si>
  <si>
    <t>JE9896172</t>
  </si>
  <si>
    <t>42401-1764617-4</t>
  </si>
  <si>
    <t>House # 855, Sector 13-G, Block - C, Muhammad Ali Gabool Colony, Orangi Town</t>
  </si>
  <si>
    <t>Jazz</t>
  </si>
  <si>
    <t>+923132600285</t>
  </si>
  <si>
    <t>AHMED ALI</t>
  </si>
  <si>
    <t>MOTHER</t>
  </si>
  <si>
    <t>MUHAMMAD TOUQEER TAHIR</t>
  </si>
  <si>
    <t>42401-7014766-7</t>
  </si>
  <si>
    <t>COUSIN</t>
  </si>
  <si>
    <t>+923394004945</t>
  </si>
  <si>
    <t>PK67MEZN0099430114974109</t>
  </si>
  <si>
    <t>AHMED ALI / SANA</t>
  </si>
  <si>
    <t>2 person</t>
  </si>
  <si>
    <t>Muhammad Tahir</t>
  </si>
  <si>
    <t>Mengrani</t>
  </si>
  <si>
    <t>Muhammad Idrees</t>
  </si>
  <si>
    <t>AE7127063</t>
  </si>
  <si>
    <t>B+</t>
  </si>
  <si>
    <t>Flat no 208 lakhani crystal parsi colony near nishtar park</t>
  </si>
  <si>
    <t>03222667959</t>
  </si>
  <si>
    <t>Muhammad hassan</t>
  </si>
  <si>
    <t>03353975679</t>
  </si>
  <si>
    <t xml:space="preserve"> PK34MEZN0001630100621944</t>
  </si>
  <si>
    <t>IRTAZA</t>
  </si>
  <si>
    <t>PG1821132</t>
  </si>
  <si>
    <t>House # 855, Sector 13-G, Block C, Muhammad Ali Gabool Colony, Orangi Town</t>
  </si>
  <si>
    <t>SELF</t>
  </si>
  <si>
    <t>Namira</t>
  </si>
  <si>
    <t>AU1717102</t>
  </si>
  <si>
    <t>A+</t>
  </si>
  <si>
    <t>Flat no 208 lakhani crystal parsi colony jear nishtar park karachi</t>
  </si>
  <si>
    <t>Muhammad Hassan</t>
  </si>
  <si>
    <t>Brother in law</t>
  </si>
  <si>
    <t>PK34MEZN0001630100621944</t>
  </si>
  <si>
    <t xml:space="preserve">Zakariya </t>
  </si>
  <si>
    <t>AF5320693</t>
  </si>
  <si>
    <t>Mehran square Clifton teen talwar Karachi Karachi</t>
  </si>
  <si>
    <t>Zakariya</t>
  </si>
  <si>
    <t>03353123253</t>
  </si>
  <si>
    <t>PK17TMFB0000000022932092</t>
  </si>
  <si>
    <t>42101-4306053-9</t>
  </si>
  <si>
    <t>Tahseen Aqeel</t>
  </si>
  <si>
    <t>Muhammad Aqeel</t>
  </si>
  <si>
    <t xml:space="preserve">Tahseen Aqeel </t>
  </si>
  <si>
    <t xml:space="preserve">Muhammad Aqeel </t>
  </si>
  <si>
    <t>AD1300533</t>
  </si>
  <si>
    <t xml:space="preserve">B positive </t>
  </si>
  <si>
    <t xml:space="preserve">A45 MEMON Nagar 15a2 scheme 33 Gulzar e hijri Karachi </t>
  </si>
  <si>
    <t>03002232200</t>
  </si>
  <si>
    <t>Muhammad aqeel</t>
  </si>
  <si>
    <t>42101-1917595-1</t>
  </si>
  <si>
    <t>03232287589</t>
  </si>
  <si>
    <t>1049098101900501</t>
  </si>
  <si>
    <t>Bank Al habib</t>
  </si>
  <si>
    <t xml:space="preserve">Muhammad Mubeen </t>
  </si>
  <si>
    <t>Iqra Mubeen</t>
  </si>
  <si>
    <t>Muhammad Mubeen</t>
  </si>
  <si>
    <t>AQ0315913</t>
  </si>
  <si>
    <t>42101-7835591-0</t>
  </si>
  <si>
    <t xml:space="preserve">Ab positive </t>
  </si>
  <si>
    <t xml:space="preserve">A45 memon Nagar 15a2 scheme 33 Gulzar e hijri Karachi </t>
  </si>
  <si>
    <t>03302479372</t>
  </si>
  <si>
    <t xml:space="preserve">Husband </t>
  </si>
  <si>
    <t>Father in law</t>
  </si>
  <si>
    <t xml:space="preserve">Bank Al habib </t>
  </si>
  <si>
    <t>42301-0454987-5</t>
  </si>
  <si>
    <t>Mateen Bilwani</t>
  </si>
  <si>
    <t>BILWANI</t>
  </si>
  <si>
    <t>BZ3799873</t>
  </si>
  <si>
    <t>House No.45, Street No.2, Bantva Nagar, Liaquatabad, Karachi Central.</t>
  </si>
  <si>
    <t>0332-8208428</t>
  </si>
  <si>
    <t>42301-0811310-7</t>
  </si>
  <si>
    <t>0300-9243537</t>
  </si>
  <si>
    <t>Bisma Tahseen</t>
  </si>
  <si>
    <t>AM7117511</t>
  </si>
  <si>
    <t>42101-6256751-2</t>
  </si>
  <si>
    <t>03132173124</t>
  </si>
  <si>
    <t>43101-1917595-1</t>
  </si>
  <si>
    <t xml:space="preserve">Father in law </t>
  </si>
  <si>
    <t>Batool Aqeel</t>
  </si>
  <si>
    <t>AF1308773</t>
  </si>
  <si>
    <t>42101-1768877-8</t>
  </si>
  <si>
    <t>03338287589</t>
  </si>
  <si>
    <t>Muhammad Waleed</t>
  </si>
  <si>
    <t>Waleed</t>
  </si>
  <si>
    <t>AD6779482</t>
  </si>
  <si>
    <t>Flat 302, Aqeela Arcade, Plot no. 03, Block no. 03, KMCHS, Shaheed-e-Millat Road, Karachi</t>
  </si>
  <si>
    <t>03312477848</t>
  </si>
  <si>
    <t>Muhammad Shahid Rafiq</t>
  </si>
  <si>
    <t>Maternal uncle</t>
  </si>
  <si>
    <t>03212250607</t>
  </si>
  <si>
    <t>PK67MEZN0001140105601985</t>
  </si>
  <si>
    <t>AD1303723</t>
  </si>
  <si>
    <t>42101-2526372-1</t>
  </si>
  <si>
    <t>03322398930</t>
  </si>
  <si>
    <t>Bank Al Habib</t>
  </si>
  <si>
    <t>Tahir</t>
  </si>
  <si>
    <t>Mohammad</t>
  </si>
  <si>
    <t>Mohammad Hussain Moonda</t>
  </si>
  <si>
    <t>CA7123312</t>
  </si>
  <si>
    <t>03312888722</t>
  </si>
  <si>
    <t>Brother-in-law</t>
  </si>
  <si>
    <t>Fouzia</t>
  </si>
  <si>
    <t>FL7129451</t>
  </si>
  <si>
    <t>03362243444</t>
  </si>
  <si>
    <t>Mohammad Tahir</t>
  </si>
  <si>
    <t xml:space="preserve">Bisma Tahseen </t>
  </si>
  <si>
    <t>Taher</t>
  </si>
  <si>
    <t>Sheeba</t>
  </si>
  <si>
    <t>Muhammad Taher</t>
  </si>
  <si>
    <t>NH9993092</t>
  </si>
  <si>
    <t>03344385467</t>
  </si>
  <si>
    <t>42201-0350144-1</t>
  </si>
  <si>
    <t>Khurram</t>
  </si>
  <si>
    <t>-</t>
  </si>
  <si>
    <t>KHURRAM</t>
  </si>
  <si>
    <t>M.SALEEM</t>
  </si>
  <si>
    <t>O Positive</t>
  </si>
  <si>
    <t>FLAT B-401 M.L PALACE NEAR MCB BANK JAMSHED ROAD 3
KARACHI</t>
  </si>
  <si>
    <t>03212929348</t>
  </si>
  <si>
    <t>Ahmed</t>
  </si>
  <si>
    <t>42201-9846560-5</t>
  </si>
  <si>
    <t>03323542004</t>
  </si>
  <si>
    <t>PK14ALFH0016001010684365</t>
  </si>
  <si>
    <t>MUHAMMAD AHMED</t>
  </si>
  <si>
    <t>Mohsin</t>
  </si>
  <si>
    <t>Abdul Majeed</t>
  </si>
  <si>
    <t>AT0110732</t>
  </si>
  <si>
    <t>Flat 104, Plot 139 P, SB Apartment, PECHS Block 2, Kashmir Road, Karachi</t>
  </si>
  <si>
    <t>03332429967</t>
  </si>
  <si>
    <t>03212429900</t>
  </si>
  <si>
    <t>PK65MPBL0101027140316680</t>
  </si>
  <si>
    <t>Mohammed Mohsin</t>
  </si>
  <si>
    <t>TANZILA</t>
  </si>
  <si>
    <t>RU4130152</t>
  </si>
  <si>
    <t>42000-3450015-5</t>
  </si>
  <si>
    <t>FLAT B-401 ML PLACE NEAR MCB BANK JAMSHED ROAD NO 3
KARACHI</t>
  </si>
  <si>
    <t>03303622175</t>
  </si>
  <si>
    <t>03122930313</t>
  </si>
  <si>
    <t>HUSBAND</t>
  </si>
  <si>
    <t>M.AHMED</t>
  </si>
  <si>
    <t>SON</t>
  </si>
  <si>
    <t>Ghazala</t>
  </si>
  <si>
    <t>Muhammad Mohsin</t>
  </si>
  <si>
    <t>BD0111682</t>
  </si>
  <si>
    <t>03312671550</t>
  </si>
  <si>
    <t>UMAMAH</t>
  </si>
  <si>
    <t>UH4130202</t>
  </si>
  <si>
    <t>42201-8241020-0</t>
  </si>
  <si>
    <t>FLAT B-401 ML PLACE NEAR MCB BANK JAMSHED ROAD NO 3 KARACHI</t>
  </si>
  <si>
    <t>03359364668</t>
  </si>
  <si>
    <t>Daughter</t>
  </si>
  <si>
    <t>Owais</t>
  </si>
  <si>
    <t>AA2692033</t>
  </si>
  <si>
    <t>03322224775</t>
  </si>
  <si>
    <t>+491789051699</t>
  </si>
  <si>
    <t>Iqra</t>
  </si>
  <si>
    <t>Muhammad Owais</t>
  </si>
  <si>
    <t>DY1223484</t>
  </si>
  <si>
    <t>03365755560</t>
  </si>
  <si>
    <t>MUHAMMAD</t>
  </si>
  <si>
    <t>CE1175602</t>
  </si>
  <si>
    <t>FLAT B-401 ML PLACE NEAR MCB BANK JAMSHED ROAD NO 3</t>
  </si>
  <si>
    <t>0335238022</t>
  </si>
  <si>
    <t>00161002665307</t>
  </si>
  <si>
    <t>Talha</t>
  </si>
  <si>
    <t>AE7749073</t>
  </si>
  <si>
    <t>03362171161</t>
  </si>
  <si>
    <t xml:space="preserve">2person </t>
  </si>
  <si>
    <t>42201-9230707-1</t>
  </si>
  <si>
    <t>Muhammed khalid</t>
  </si>
  <si>
    <t>Khalid</t>
  </si>
  <si>
    <t>Muhammed Siraj ul haque</t>
  </si>
  <si>
    <t>Uz4157071</t>
  </si>
  <si>
    <t>---</t>
  </si>
  <si>
    <t>1911 pib colony near pib police station karachi</t>
  </si>
  <si>
    <t>03223251111</t>
  </si>
  <si>
    <t>Muhammed naseem</t>
  </si>
  <si>
    <t>42201-1216212-9</t>
  </si>
  <si>
    <t xml:space="preserve">Brother </t>
  </si>
  <si>
    <t>03132287326</t>
  </si>
  <si>
    <t>HADI</t>
  </si>
  <si>
    <t>ABDUL</t>
  </si>
  <si>
    <t>KHURTRAM</t>
  </si>
  <si>
    <t>AT6491662</t>
  </si>
  <si>
    <t>42201-7344166-1</t>
  </si>
  <si>
    <t>FLAT B-401 ML PLACE NEAR MCB BANK JAMSHED ROAD NO 3 ARACHI</t>
  </si>
  <si>
    <t>03308421338</t>
  </si>
  <si>
    <t>Shahid</t>
  </si>
  <si>
    <t>Neha</t>
  </si>
  <si>
    <t>Muhammad Shahid Zareen Khattak</t>
  </si>
  <si>
    <t>GY5158413</t>
  </si>
  <si>
    <t>03372533283</t>
  </si>
  <si>
    <t>Muhammad Talha</t>
  </si>
  <si>
    <t>03432318858</t>
  </si>
  <si>
    <t xml:space="preserve">Shoaib </t>
  </si>
  <si>
    <t>Shoaib ahmed</t>
  </si>
  <si>
    <t>Wazeer ali</t>
  </si>
  <si>
    <t>Eg1157973</t>
  </si>
  <si>
    <t>B positive</t>
  </si>
  <si>
    <t>Aqsa autos shop no 3 -4 Akber Road sadder karachi</t>
  </si>
  <si>
    <t>03132388378</t>
  </si>
  <si>
    <t>Anum</t>
  </si>
  <si>
    <t>424013557636-6</t>
  </si>
  <si>
    <t>03162388566</t>
  </si>
  <si>
    <t>Pk98alfh0212001003819518</t>
  </si>
  <si>
    <t>Aqsa autos</t>
  </si>
  <si>
    <t>Abdullah khalid</t>
  </si>
  <si>
    <t xml:space="preserve">Khalid </t>
  </si>
  <si>
    <t>Khalid maqbool</t>
  </si>
  <si>
    <t>LA4100194</t>
  </si>
  <si>
    <t>42101-3662019-9</t>
  </si>
  <si>
    <t>d 33 g/f st no 1 mini market defence view phase 2 near iqra university</t>
  </si>
  <si>
    <t>03312443894</t>
  </si>
  <si>
    <t>Kinza abdullah</t>
  </si>
  <si>
    <t>423014432757-4</t>
  </si>
  <si>
    <t>03032543330</t>
  </si>
  <si>
    <t>PK66MEZN0001780100990979</t>
  </si>
  <si>
    <t xml:space="preserve">2 person </t>
  </si>
  <si>
    <t>422019230707-1</t>
  </si>
  <si>
    <t>Kanwal</t>
  </si>
  <si>
    <t>Feroza</t>
  </si>
  <si>
    <t>MG4799631</t>
  </si>
  <si>
    <t>42201-8894863-0</t>
  </si>
  <si>
    <t xml:space="preserve">1911 pib colony near pib police station karachi </t>
  </si>
  <si>
    <t>03143689259</t>
  </si>
  <si>
    <t>Naseem</t>
  </si>
  <si>
    <t xml:space="preserve">Brother in law </t>
  </si>
  <si>
    <t>Pk78 bahl 1050098101102601</t>
  </si>
  <si>
    <t xml:space="preserve">Feroza kanwal </t>
  </si>
  <si>
    <t>2 members</t>
  </si>
  <si>
    <t>Muhmmad Qasim</t>
  </si>
  <si>
    <t>QASIM</t>
  </si>
  <si>
    <t>Muhammad Qasim</t>
  </si>
  <si>
    <t>Muhammad yousuf</t>
  </si>
  <si>
    <t>AC4851815</t>
  </si>
  <si>
    <t>OPositive</t>
  </si>
  <si>
    <t>1122/3 FB Aera hussainabad karachi</t>
  </si>
  <si>
    <t>03009293799</t>
  </si>
  <si>
    <t>03369293799</t>
  </si>
  <si>
    <t>Muhmmad Muzammil</t>
  </si>
  <si>
    <t>42101-5025282-9</t>
  </si>
  <si>
    <t>03342146678</t>
  </si>
  <si>
    <t>Muammad Qasim</t>
  </si>
  <si>
    <t>Madiha Qasim</t>
  </si>
  <si>
    <t>BH4853683</t>
  </si>
  <si>
    <t>42101-2108368-0</t>
  </si>
  <si>
    <t>A +</t>
  </si>
  <si>
    <t>1122/3 FB Aera karachi</t>
  </si>
  <si>
    <t>Muhammad Muzammil</t>
  </si>
  <si>
    <t>42201-2141258-3</t>
  </si>
  <si>
    <t xml:space="preserve">Zeeshan </t>
  </si>
  <si>
    <t>Shamsuddin</t>
  </si>
  <si>
    <t>Zeeshan</t>
  </si>
  <si>
    <t>AD9002584</t>
  </si>
  <si>
    <t>Not sure</t>
  </si>
  <si>
    <t>B/4 Amaan terrece garden west karachi</t>
  </si>
  <si>
    <t>03323499875</t>
  </si>
  <si>
    <t>42201-0516581-1</t>
  </si>
  <si>
    <t>03022576422</t>
  </si>
  <si>
    <t>PK37MPBL1105027140143406</t>
  </si>
  <si>
    <t xml:space="preserve">Nazar Hussain Siddiqui </t>
  </si>
  <si>
    <t xml:space="preserve">Siddiqui </t>
  </si>
  <si>
    <t xml:space="preserve">Nazar Hussain </t>
  </si>
  <si>
    <t xml:space="preserve">Sabir Hussain Siddiqui </t>
  </si>
  <si>
    <t xml:space="preserve">E-8, Gulshan Complex Phase-1 Gulistan-e-Jauhar Blk-19 Karachi </t>
  </si>
  <si>
    <t>03332237041</t>
  </si>
  <si>
    <t xml:space="preserve">Shiraz Hussain Siddiqui </t>
  </si>
  <si>
    <t>03333220766</t>
  </si>
  <si>
    <t>Iftikhar Ahmed</t>
  </si>
  <si>
    <t>Iftikhar</t>
  </si>
  <si>
    <t xml:space="preserve">Mushtaq Ahmed </t>
  </si>
  <si>
    <t>QM1166312</t>
  </si>
  <si>
    <t>Flat# A-1002, 10th floor, Tower 01, Noman Residencia, Plot #A, Sector#30, Scheme 33, Karachi, Pakistan</t>
  </si>
  <si>
    <t>03002901512</t>
  </si>
  <si>
    <t>Haseeb Ahmed</t>
  </si>
  <si>
    <t>03492027855</t>
  </si>
  <si>
    <t>PK69BAHL1016007801850301</t>
  </si>
  <si>
    <t>HASEEB AHMED/SAMREEN QAMAR</t>
  </si>
  <si>
    <t>IFTIKHAR AHMED</t>
  </si>
  <si>
    <t>QAMAR</t>
  </si>
  <si>
    <t>SAMREEN</t>
  </si>
  <si>
    <t xml:space="preserve">IFTIKHAR AHMED </t>
  </si>
  <si>
    <t>EH4225902</t>
  </si>
  <si>
    <t>FLAT#1002, 10TH FLOOR, TOWER # 01, NOMAN RESIDENCIA, PLOT # A, SECTOR#30, SCHEME 33, KARACHI, PAKISTAN</t>
  </si>
  <si>
    <t>03112873837</t>
  </si>
  <si>
    <t>03112872837</t>
  </si>
  <si>
    <t>HASEEB AHMED</t>
  </si>
  <si>
    <t>0349207855</t>
  </si>
  <si>
    <t>Sana</t>
  </si>
  <si>
    <t>AA4004455</t>
  </si>
  <si>
    <t>42000-5185445-8</t>
  </si>
  <si>
    <t>03309993770</t>
  </si>
  <si>
    <t>Syed Muhammad imran</t>
  </si>
  <si>
    <t>Syed</t>
  </si>
  <si>
    <t>Imran</t>
  </si>
  <si>
    <t>Haji jawed ali</t>
  </si>
  <si>
    <t>Av5172146</t>
  </si>
  <si>
    <t xml:space="preserve">A positive </t>
  </si>
  <si>
    <t>OT 2/66 Atmaram lane off embankment Rd p 11</t>
  </si>
  <si>
    <t>Telenor</t>
  </si>
  <si>
    <t>03002212996</t>
  </si>
  <si>
    <t>Syeda asma kiran</t>
  </si>
  <si>
    <t>Waif</t>
  </si>
  <si>
    <t xml:space="preserve">Syed Muhammad ubaid raza </t>
  </si>
  <si>
    <t>Beta</t>
  </si>
  <si>
    <t>03363181866</t>
  </si>
  <si>
    <t>Pk33mezn0001800108640022</t>
  </si>
  <si>
    <t>42301-7375214-9</t>
  </si>
  <si>
    <t xml:space="preserve">Syed Muhammad Imran </t>
  </si>
  <si>
    <t>Kiran</t>
  </si>
  <si>
    <t>Syeda asma</t>
  </si>
  <si>
    <t>AF4900294</t>
  </si>
  <si>
    <t>42301-0760029-0</t>
  </si>
  <si>
    <t>OT 2/66 ATMARAM LANE OFF EMBANKMENT RD P 11</t>
  </si>
  <si>
    <t>03212212996</t>
  </si>
  <si>
    <t>Syed ubaid raza</t>
  </si>
  <si>
    <t>42301-5928706-9</t>
  </si>
  <si>
    <t>PK33 MEZN 0001 8001 0864 0022</t>
  </si>
  <si>
    <t>42000-3580166-3</t>
  </si>
  <si>
    <t>Furqan Rafiq</t>
  </si>
  <si>
    <t>Rafiq</t>
  </si>
  <si>
    <t>Furqan</t>
  </si>
  <si>
    <t>AU0721663</t>
  </si>
  <si>
    <t>GRE-244 Fatima Homes Flat 103 Issardas Street Garden East Karachi</t>
  </si>
  <si>
    <t>03341323810</t>
  </si>
  <si>
    <t>42000-0471402-1</t>
  </si>
  <si>
    <t>03328229406</t>
  </si>
  <si>
    <t>PK47MEZN0001790101609356</t>
  </si>
  <si>
    <t>Haji jawed</t>
  </si>
  <si>
    <t>AV5172146</t>
  </si>
  <si>
    <t xml:space="preserve">OT2/66Atmaram lane off embankment rd p11 </t>
  </si>
  <si>
    <t xml:space="preserve">Syed ubaid raza </t>
  </si>
  <si>
    <t>42201-5266331-7</t>
  </si>
  <si>
    <t>Muhammad farooq hussain</t>
  </si>
  <si>
    <t>AK2693311</t>
  </si>
  <si>
    <t xml:space="preserve">3 floor 304 adenwala apartment, Britto road Garden east Karachi </t>
  </si>
  <si>
    <t>03242508872</t>
  </si>
  <si>
    <t xml:space="preserve">Muhammad Farooq hussain </t>
  </si>
  <si>
    <t>42201-9812292-9</t>
  </si>
  <si>
    <t>03002042005</t>
  </si>
  <si>
    <t>PK89MEZN0099560103400588</t>
  </si>
  <si>
    <t>MUHAMMAD OWAIS</t>
  </si>
  <si>
    <t>Dawood</t>
  </si>
  <si>
    <t xml:space="preserve">Fatima </t>
  </si>
  <si>
    <t>Muhammad owais</t>
  </si>
  <si>
    <t>AT7671481</t>
  </si>
  <si>
    <t>42301-2593148-2</t>
  </si>
  <si>
    <t xml:space="preserve">3 floor flat 304 adenwala apartment, britto road garden east Karachi </t>
  </si>
  <si>
    <t>03412893457</t>
  </si>
  <si>
    <t xml:space="preserve">Muhammad owais </t>
  </si>
  <si>
    <t xml:space="preserve">MUHAMMAD OWAIS </t>
  </si>
  <si>
    <t>Muhammad Tariq</t>
  </si>
  <si>
    <t>Tariq</t>
  </si>
  <si>
    <t>Muhammad Arif</t>
  </si>
  <si>
    <t>2nd Floor Flat No 3 Aone Place Near Alif Masjid Kharadar Karachi</t>
  </si>
  <si>
    <t>03112527002</t>
  </si>
  <si>
    <t>Muhammad Abrar</t>
  </si>
  <si>
    <t>03362450823</t>
  </si>
  <si>
    <t>2nd floor flat No 3 Aone place near alif masjid kharadar karachi</t>
  </si>
  <si>
    <t>Hanif</t>
  </si>
  <si>
    <t>Muhammad hanif</t>
  </si>
  <si>
    <t>O possitive</t>
  </si>
  <si>
    <t xml:space="preserve">Falte no f1 6th floor umer manzil punjabi club near madina masjid kharadar karachi </t>
  </si>
  <si>
    <t>033128833169</t>
  </si>
  <si>
    <t>03312833169</t>
  </si>
  <si>
    <t>Saeeda</t>
  </si>
  <si>
    <t>Mother</t>
  </si>
  <si>
    <t>Nouman</t>
  </si>
  <si>
    <t>Bhenoi</t>
  </si>
  <si>
    <t>0322 2873663</t>
  </si>
  <si>
    <t>PK80MEZN0001530109086699</t>
  </si>
  <si>
    <t>Nasima</t>
  </si>
  <si>
    <t>CR0001592</t>
  </si>
  <si>
    <t>2nd floor Flat No 3 Aone place near alif masjid kharadar karachi</t>
  </si>
  <si>
    <t>Muhammad tariq</t>
  </si>
  <si>
    <t>03343073783</t>
  </si>
  <si>
    <t>Damad</t>
  </si>
  <si>
    <t>03222873663</t>
  </si>
  <si>
    <t>Afshan</t>
  </si>
  <si>
    <t>GG7964511</t>
  </si>
  <si>
    <t>B</t>
  </si>
  <si>
    <t>2nd Floor Flat No 3 Aone Place Near Alif masjid kharadar karachi</t>
  </si>
  <si>
    <t xml:space="preserve">42301-8288901-7 </t>
  </si>
  <si>
    <t xml:space="preserve">Abdul qadir </t>
  </si>
  <si>
    <t>Saleem</t>
  </si>
  <si>
    <t>Muhammad Saleem</t>
  </si>
  <si>
    <t>CQ5759013</t>
  </si>
  <si>
    <t xml:space="preserve">B </t>
  </si>
  <si>
    <t>Azeem plaza block f-35 garden west karachi</t>
  </si>
  <si>
    <t>03223991922</t>
  </si>
  <si>
    <t>Shahbaz saleem</t>
  </si>
  <si>
    <t xml:space="preserve">42401-6489870-1 </t>
  </si>
  <si>
    <t>01360114090327</t>
  </si>
  <si>
    <t xml:space="preserve">Abdul qadir enterprises </t>
  </si>
  <si>
    <t>Tariq Aziz</t>
  </si>
  <si>
    <t>Abdul Aziz</t>
  </si>
  <si>
    <t>JF1837301</t>
  </si>
  <si>
    <t xml:space="preserve">O positive </t>
  </si>
  <si>
    <t xml:space="preserve">Al Ramzan Terrace block D near Babuddin masjid Garden west, Karachi </t>
  </si>
  <si>
    <t>03213900237</t>
  </si>
  <si>
    <t>Tahir Aziz</t>
  </si>
  <si>
    <t>42301-4948241-3</t>
  </si>
  <si>
    <t>03226666924</t>
  </si>
  <si>
    <t>Saira Tariq</t>
  </si>
  <si>
    <t>GJ7963851</t>
  </si>
  <si>
    <t>Al Ramazan Terrace block D near Babuddin masjid Garden west, Karachi</t>
  </si>
  <si>
    <t>03013386292</t>
  </si>
  <si>
    <t xml:space="preserve">42301-4948241-3 </t>
  </si>
  <si>
    <t>ASWAD MUHAMMAD ANWER</t>
  </si>
  <si>
    <t>ANWER</t>
  </si>
  <si>
    <t xml:space="preserve">ASWAD MUHAMMAD </t>
  </si>
  <si>
    <t>MUHAMMAD ANWER</t>
  </si>
  <si>
    <t>ND1796593</t>
  </si>
  <si>
    <t>Gulzar hijri karachi</t>
  </si>
  <si>
    <t>03113293923</t>
  </si>
  <si>
    <t>Muhammad anwer</t>
  </si>
  <si>
    <t>03242277597</t>
  </si>
  <si>
    <t>PK45MEZN0001970110674033</t>
  </si>
  <si>
    <t>Karwan-e-zulnoorain travel &amp; tours</t>
  </si>
  <si>
    <t>42000-3645632-7</t>
  </si>
  <si>
    <t>Muhammad Mujtaba</t>
  </si>
  <si>
    <t>Mujtaba</t>
  </si>
  <si>
    <t xml:space="preserve">Muhammad </t>
  </si>
  <si>
    <t xml:space="preserve">Yousuf </t>
  </si>
  <si>
    <t>CW0576322</t>
  </si>
  <si>
    <t>42000-36456327</t>
  </si>
  <si>
    <t>Al Madina Terrace, Block 'A', Floor 3rd, Flat No. 301, Jamshed Road#3, Fatimah Jinnah Colony, Karachi</t>
  </si>
  <si>
    <t>03363445781</t>
  </si>
  <si>
    <t>Aamir Amin</t>
  </si>
  <si>
    <t>Maternal Uncle</t>
  </si>
  <si>
    <t>03002126130</t>
  </si>
  <si>
    <t>PK44MEZN0001650105946578</t>
  </si>
  <si>
    <t>MUHAMMAD MUJTABA</t>
  </si>
  <si>
    <t>Surname nill</t>
  </si>
  <si>
    <t>Amna</t>
  </si>
  <si>
    <t>Aswad</t>
  </si>
  <si>
    <t>FZ1204932</t>
  </si>
  <si>
    <t>Father in low</t>
  </si>
  <si>
    <t xml:space="preserve">Syed ohad raza </t>
  </si>
  <si>
    <t>Raza</t>
  </si>
  <si>
    <t>Syed ohad</t>
  </si>
  <si>
    <t>Syed Muhammad Ali bukari</t>
  </si>
  <si>
    <t>DM9904451</t>
  </si>
  <si>
    <t>Jamnagar mohalla ballia town Karachi 1726/86</t>
  </si>
  <si>
    <t>03153924611</t>
  </si>
  <si>
    <t xml:space="preserve">Syed Muhammad Ali bukari </t>
  </si>
  <si>
    <t>03332389279</t>
  </si>
  <si>
    <t xml:space="preserve">10300109024805 mezan bank </t>
  </si>
  <si>
    <t>RUBINA</t>
  </si>
  <si>
    <t>Yousuf</t>
  </si>
  <si>
    <t>BF9005521</t>
  </si>
  <si>
    <t>42000-2872552-2</t>
  </si>
  <si>
    <t>We will tell later</t>
  </si>
  <si>
    <t>03343346859</t>
  </si>
  <si>
    <t xml:space="preserve">Muhammad Mujtaba </t>
  </si>
  <si>
    <t>Sister</t>
  </si>
  <si>
    <t>PK94MEZN0001650114956299</t>
  </si>
  <si>
    <t>RUBINA (ASAAN AC)</t>
  </si>
  <si>
    <t>Basri</t>
  </si>
  <si>
    <t>Rabiya</t>
  </si>
  <si>
    <t>Syed ohad raza</t>
  </si>
  <si>
    <t>Au3828901</t>
  </si>
  <si>
    <t>03032545515</t>
  </si>
  <si>
    <t>UM E HABIBA</t>
  </si>
  <si>
    <t>FZ5759602</t>
  </si>
  <si>
    <t>42301-9324960-0</t>
  </si>
  <si>
    <t>+92 332 2977666</t>
  </si>
  <si>
    <t xml:space="preserve">Husband's Maternal Uncle </t>
  </si>
  <si>
    <t>PK66BAHL1032098102226201</t>
  </si>
  <si>
    <t>Um E Habiba</t>
  </si>
  <si>
    <t>42000-2383624-3</t>
  </si>
  <si>
    <t>Muhammad Shabbir Paryani</t>
  </si>
  <si>
    <t>PARYANI</t>
  </si>
  <si>
    <t>MUHAMMAD SHABBIR</t>
  </si>
  <si>
    <t>Muhammad Zakar</t>
  </si>
  <si>
    <t>BB3946242</t>
  </si>
  <si>
    <t>B (POSITIVE)</t>
  </si>
  <si>
    <t xml:space="preserve">3 floor Gulshan e altaf plat no 672 flat no 302 Jamshed road Karachi </t>
  </si>
  <si>
    <t>03002199317</t>
  </si>
  <si>
    <t xml:space="preserve">Muhammad Zakar </t>
  </si>
  <si>
    <t>42301-2386979-9</t>
  </si>
  <si>
    <t>03332199317</t>
  </si>
  <si>
    <t xml:space="preserve">Muhammad Shabbir Paryani </t>
  </si>
  <si>
    <t>SHABBIR</t>
  </si>
  <si>
    <t>SAMINA</t>
  </si>
  <si>
    <t>DM5130392</t>
  </si>
  <si>
    <t>42201-0264039-6</t>
  </si>
  <si>
    <t>O (POSITIVE)</t>
  </si>
  <si>
    <t>3 floor Gulshan e altaf plat no 672 flat no 302 Jamshed road Karachi</t>
  </si>
  <si>
    <t>03228260105</t>
  </si>
  <si>
    <t>AHMED RAZA</t>
  </si>
  <si>
    <t>BQ3944582</t>
  </si>
  <si>
    <t>42201-5921458-7</t>
  </si>
  <si>
    <t>03020200618</t>
  </si>
  <si>
    <t>Grand father</t>
  </si>
  <si>
    <t>FATIMA SHABBIR</t>
  </si>
  <si>
    <t>BB3945252</t>
  </si>
  <si>
    <t>42201-7331525-4</t>
  </si>
  <si>
    <t xml:space="preserve">Father </t>
  </si>
  <si>
    <t xml:space="preserve">Grand father </t>
  </si>
  <si>
    <t>5 persons</t>
  </si>
  <si>
    <t>42201-4322746-5</t>
  </si>
  <si>
    <t xml:space="preserve">Farhan kapadia </t>
  </si>
  <si>
    <t>Kapadia</t>
  </si>
  <si>
    <t>Moosa kapadia</t>
  </si>
  <si>
    <t>AB4077463</t>
  </si>
  <si>
    <t xml:space="preserve">100 A faran society near dhoraji colony karachi </t>
  </si>
  <si>
    <t>03008252900</t>
  </si>
  <si>
    <t xml:space="preserve">Junaid kapadia </t>
  </si>
  <si>
    <t>42201-0782249-9</t>
  </si>
  <si>
    <t>03008252600</t>
  </si>
  <si>
    <t>Farhan Kapadia</t>
  </si>
  <si>
    <t>Mariah Kapadia</t>
  </si>
  <si>
    <t>AA4078944</t>
  </si>
  <si>
    <t>42201-2810894-2</t>
  </si>
  <si>
    <t>100 A faran society near Jamal noor hospital dhoraji colony karachi</t>
  </si>
  <si>
    <t>0300-1562900</t>
  </si>
  <si>
    <t>Junaid Kapadia</t>
  </si>
  <si>
    <t>Uncle</t>
  </si>
  <si>
    <t xml:space="preserve">5 person </t>
  </si>
  <si>
    <t xml:space="preserve">Kapadia </t>
  </si>
  <si>
    <t>Misbah</t>
  </si>
  <si>
    <t>AA4073413</t>
  </si>
  <si>
    <t>42201-3848341-8</t>
  </si>
  <si>
    <t>03002392900</t>
  </si>
  <si>
    <t>Maryam Kapadia</t>
  </si>
  <si>
    <t>AA4075103</t>
  </si>
  <si>
    <t>42201-1693510-4</t>
  </si>
  <si>
    <t>100 A faran society near jamal noor hospital dhoraji colony</t>
  </si>
  <si>
    <t>03267862900</t>
  </si>
  <si>
    <t>Farhan kapadia</t>
  </si>
  <si>
    <t>Mainunah</t>
  </si>
  <si>
    <t>AC4073042</t>
  </si>
  <si>
    <t>42201-5316304-4</t>
  </si>
  <si>
    <t>03218252900</t>
  </si>
  <si>
    <t xml:space="preserve">Daughter </t>
  </si>
  <si>
    <t xml:space="preserve">Uncle </t>
  </si>
  <si>
    <t>Muhammad Ali Jangda</t>
  </si>
  <si>
    <t>JANGDA</t>
  </si>
  <si>
    <t>MUHAMMAD ALI</t>
  </si>
  <si>
    <t>MUHAMMAD MUNAF JANGDA</t>
  </si>
  <si>
    <t>AC8721652</t>
  </si>
  <si>
    <t>B Positive</t>
  </si>
  <si>
    <t>Karachi, pakistan</t>
  </si>
  <si>
    <t>03139265407</t>
  </si>
  <si>
    <t>Muhammad Munaf Jangda</t>
  </si>
  <si>
    <t>03009265407</t>
  </si>
  <si>
    <t>PK79FAYS3492301000002682</t>
  </si>
  <si>
    <t xml:space="preserve">Ali </t>
  </si>
  <si>
    <t>Rabia</t>
  </si>
  <si>
    <t>JR0009161</t>
  </si>
  <si>
    <t>03312372459</t>
  </si>
  <si>
    <t>Muhammad Hanif</t>
  </si>
  <si>
    <t>03352429721</t>
  </si>
  <si>
    <t>MUHAMMAD ALI JANGDA</t>
  </si>
  <si>
    <t>Muhammad Moeed</t>
  </si>
  <si>
    <t>Moeed</t>
  </si>
  <si>
    <t>BJ0975522</t>
  </si>
  <si>
    <t>None</t>
  </si>
  <si>
    <t>Saeed Mansion, Second Floor, House No. NP 10/21, Area Jodia Bazar, Sabzi Gali, Karachi.</t>
  </si>
  <si>
    <t>03366767406</t>
  </si>
  <si>
    <t>Adnan Muhammad Saleem</t>
  </si>
  <si>
    <t>03002193323</t>
  </si>
  <si>
    <t>PK03MEZN0001630103256537</t>
  </si>
  <si>
    <t>Muhammad Shahdab Shahid</t>
  </si>
  <si>
    <t>Muhammad Shahdab</t>
  </si>
  <si>
    <t>Muhammad Shahid</t>
  </si>
  <si>
    <t>YN5143642</t>
  </si>
  <si>
    <t>Flat no. 20, 5th Floor, Marium Palace, Chand Bibi Road, Nanak Wada, Near City Court, Karachi</t>
  </si>
  <si>
    <t>03202055400</t>
  </si>
  <si>
    <t>Abdul Rehman</t>
  </si>
  <si>
    <t>0309200590</t>
  </si>
  <si>
    <t>PK09BAHL12590981008571011</t>
  </si>
  <si>
    <t>Muhammad Shadab Shahid</t>
  </si>
  <si>
    <t>Muhammad Waqas</t>
  </si>
  <si>
    <t>Waqas</t>
  </si>
  <si>
    <t>Ghayasuddin</t>
  </si>
  <si>
    <t>AH6315924</t>
  </si>
  <si>
    <t>4th Floor, 2nd Floor, Fatima Sqaure Building, Chand Bibi Road, Near City Court, Nanak Wada, Karachi.</t>
  </si>
  <si>
    <t>03243620275</t>
  </si>
  <si>
    <t>Ansar Raza</t>
  </si>
  <si>
    <t>03131117244</t>
  </si>
  <si>
    <t>PK81MEZN0001340102896587</t>
  </si>
  <si>
    <t>Shehryar Nisar</t>
  </si>
  <si>
    <t>Nisar</t>
  </si>
  <si>
    <t>Shehryar</t>
  </si>
  <si>
    <t>Muhammad Nisar</t>
  </si>
  <si>
    <t>NQ9828761</t>
  </si>
  <si>
    <t>Flat No 5, Qasr e Ali Asgher Building, Chand BiBi Road, Opp. city court, KARACHI</t>
  </si>
  <si>
    <t>03030225202</t>
  </si>
  <si>
    <t>03002240535</t>
  </si>
  <si>
    <t>PK17MEZN0001340107401352</t>
  </si>
  <si>
    <t>Muhammad Zawar Ali</t>
  </si>
  <si>
    <t>Ali</t>
  </si>
  <si>
    <t>Shahzad</t>
  </si>
  <si>
    <t>VF1828541</t>
  </si>
  <si>
    <t>AB Negative</t>
  </si>
  <si>
    <t>03130209409</t>
  </si>
  <si>
    <t>03313599030</t>
  </si>
  <si>
    <t>42501-3632981-9</t>
  </si>
  <si>
    <t>03362824490</t>
  </si>
  <si>
    <t>PK21BAHL5004008100161602</t>
  </si>
  <si>
    <t>Khan</t>
  </si>
  <si>
    <t>Saba Imran</t>
  </si>
  <si>
    <t>JK4164951</t>
  </si>
  <si>
    <t>O Negative</t>
  </si>
  <si>
    <t>03182833424</t>
  </si>
  <si>
    <t>Father In Law</t>
  </si>
  <si>
    <t>Ali edhi</t>
  </si>
  <si>
    <t>Edhi</t>
  </si>
  <si>
    <t xml:space="preserve">Mehwish </t>
  </si>
  <si>
    <t>Ali Edhi</t>
  </si>
  <si>
    <t>AD1440882</t>
  </si>
  <si>
    <t>42301-6439088-8</t>
  </si>
  <si>
    <t>Clifton block 9</t>
  </si>
  <si>
    <t>0330 4067660</t>
  </si>
  <si>
    <t>+92 330 3188195</t>
  </si>
  <si>
    <t>0323-3373370</t>
  </si>
  <si>
    <t>PK25 MPBL 9921 1771 4012 2776</t>
  </si>
  <si>
    <t>MUHAMMAD ALI EDHI</t>
  </si>
  <si>
    <t>42101-4399615-1</t>
  </si>
  <si>
    <t>M.Sabhialam</t>
  </si>
  <si>
    <t>Alam</t>
  </si>
  <si>
    <t>Sabhi</t>
  </si>
  <si>
    <t>Aftab alam</t>
  </si>
  <si>
    <t>BD1756154</t>
  </si>
  <si>
    <t>AB+</t>
  </si>
  <si>
    <t>Bahria town karachi precinct 17</t>
  </si>
  <si>
    <t>03000403846</t>
  </si>
  <si>
    <t>Warda anwar</t>
  </si>
  <si>
    <t>Warda</t>
  </si>
  <si>
    <t>42101-0693736-6</t>
  </si>
  <si>
    <t>03403065205</t>
  </si>
  <si>
    <t>PK05SCBL0000001007906301</t>
  </si>
  <si>
    <t>Sabhialam</t>
  </si>
  <si>
    <t>Muhammad Shoaib</t>
  </si>
  <si>
    <t>Shoaib</t>
  </si>
  <si>
    <t>Abdul Jabbar</t>
  </si>
  <si>
    <t>GPS190463</t>
  </si>
  <si>
    <t>Flat No C1 ground floor nashaman arcde jamshed road fatima jinnah colony karachi pakistan</t>
  </si>
  <si>
    <t>03212171682</t>
  </si>
  <si>
    <t>Naseema</t>
  </si>
  <si>
    <t>03422027152</t>
  </si>
  <si>
    <t>PK30JSBL9604000001952584</t>
  </si>
  <si>
    <t>3 person</t>
  </si>
  <si>
    <t>Arsalan</t>
  </si>
  <si>
    <t xml:space="preserve">None </t>
  </si>
  <si>
    <t>Haji Allah Rakha</t>
  </si>
  <si>
    <t>JH0003272</t>
  </si>
  <si>
    <t xml:space="preserve">Plot A112 block D north Nazimabad </t>
  </si>
  <si>
    <t>03212879989</t>
  </si>
  <si>
    <t>03212879980</t>
  </si>
  <si>
    <t>Muhammad Ismail</t>
  </si>
  <si>
    <t>03213769188</t>
  </si>
  <si>
    <t>PK43MEZN0099510105640906</t>
  </si>
  <si>
    <t>Badla</t>
  </si>
  <si>
    <t>Sara</t>
  </si>
  <si>
    <t>AA5941964</t>
  </si>
  <si>
    <t>flat c1 ground floor nashaman arcade fatima jinnah colony karachi pakistan</t>
  </si>
  <si>
    <t>03249274072</t>
  </si>
  <si>
    <t>wife</t>
  </si>
  <si>
    <t>Muhammad Ubaid Noorani</t>
  </si>
  <si>
    <t>423019009596-1</t>
  </si>
  <si>
    <t>03012096291</t>
  </si>
  <si>
    <t>PK44MEZN0000300113973153</t>
  </si>
  <si>
    <t>SARA</t>
  </si>
  <si>
    <t>Sumera</t>
  </si>
  <si>
    <t>GE0007642</t>
  </si>
  <si>
    <t xml:space="preserve">Plot A112 block D north nazimabad </t>
  </si>
  <si>
    <t>03223315571</t>
  </si>
  <si>
    <t>Mubammad Ismail</t>
  </si>
  <si>
    <t>Memona</t>
  </si>
  <si>
    <t>HJ1747672</t>
  </si>
  <si>
    <t>03212260074</t>
  </si>
  <si>
    <t>42201-23904205-5</t>
  </si>
  <si>
    <t>Umair</t>
  </si>
  <si>
    <t>Anis</t>
  </si>
  <si>
    <t>42201-2390420-5</t>
  </si>
  <si>
    <t>713/7 Sadia Terrace Jamshed road no 3</t>
  </si>
  <si>
    <t>03352070793</t>
  </si>
  <si>
    <t>Saira umair</t>
  </si>
  <si>
    <t>42201-6134946-2</t>
  </si>
  <si>
    <t>03433002490</t>
  </si>
  <si>
    <t>Muhammad umair</t>
  </si>
  <si>
    <t xml:space="preserve">single </t>
  </si>
  <si>
    <t xml:space="preserve">Azher Karim </t>
  </si>
  <si>
    <t>Memon</t>
  </si>
  <si>
    <t xml:space="preserve">Noor Mohammad </t>
  </si>
  <si>
    <t>AJ4954224</t>
  </si>
  <si>
    <t xml:space="preserve">Dholanabad Mirpurkhas </t>
  </si>
  <si>
    <t>03003301060</t>
  </si>
  <si>
    <t>nil</t>
  </si>
  <si>
    <t xml:space="preserve">Habia Azher </t>
  </si>
  <si>
    <t xml:space="preserve">Wife </t>
  </si>
  <si>
    <t>03332991636</t>
  </si>
  <si>
    <t>PK66MUCB0081201010022288</t>
  </si>
  <si>
    <t>Muhammad Atiq</t>
  </si>
  <si>
    <t>Atiq</t>
  </si>
  <si>
    <t>Taufiq</t>
  </si>
  <si>
    <t>Aj1465724</t>
  </si>
  <si>
    <t>No idea</t>
  </si>
  <si>
    <t>Amsterdam, Netherlands</t>
  </si>
  <si>
    <t>03219237736</t>
  </si>
  <si>
    <t>Muhammad Taufiq</t>
  </si>
  <si>
    <t>03331309669</t>
  </si>
  <si>
    <t>Iqbal</t>
  </si>
  <si>
    <t>Samman</t>
  </si>
  <si>
    <t>Not issued yet</t>
  </si>
  <si>
    <t>03369237736</t>
  </si>
  <si>
    <t>+31 6 54278768</t>
  </si>
  <si>
    <t xml:space="preserve">Muhammad Atiq </t>
  </si>
  <si>
    <t>42301-0844072-9</t>
  </si>
  <si>
    <t>Syed Muhammad Jawaid Qadri</t>
  </si>
  <si>
    <t>Qadri</t>
  </si>
  <si>
    <t xml:space="preserve">Syed Muhammad Jawaid Qadri </t>
  </si>
  <si>
    <t>Syed Haji Mustafa Mian</t>
  </si>
  <si>
    <t>BA4420722</t>
  </si>
  <si>
    <t xml:space="preserve">4/37 38 39 Qader Mustafa Mithadar Karachi </t>
  </si>
  <si>
    <t>03002524898</t>
  </si>
  <si>
    <t>Raza ul mustafa</t>
  </si>
  <si>
    <t>42301-2059337-5</t>
  </si>
  <si>
    <t>Son in law</t>
  </si>
  <si>
    <t>0315 1266841</t>
  </si>
  <si>
    <t>SYEDA</t>
  </si>
  <si>
    <t>TAHIRA BANO</t>
  </si>
  <si>
    <t>CS5178132</t>
  </si>
  <si>
    <t>42301-0776813-4</t>
  </si>
  <si>
    <t xml:space="preserve">4/37 38 39 Qasre e Mustafa Mithadar Karachi </t>
  </si>
  <si>
    <t>0316 2037061</t>
  </si>
  <si>
    <t xml:space="preserve">Raza ul mustafa </t>
  </si>
  <si>
    <t xml:space="preserve">Son in law </t>
  </si>
  <si>
    <t xml:space="preserve">Muhammad Ameen </t>
  </si>
  <si>
    <t xml:space="preserve">Ameen </t>
  </si>
  <si>
    <t xml:space="preserve">Muhammad Ismail </t>
  </si>
  <si>
    <t>DC1208153</t>
  </si>
  <si>
    <t xml:space="preserve">R-879 block 2 Azizabad FBArea Karachi </t>
  </si>
  <si>
    <t>03332137712</t>
  </si>
  <si>
    <t xml:space="preserve">Muhammad Hanif </t>
  </si>
  <si>
    <t>03008292060</t>
  </si>
  <si>
    <t>PK52MEZN0099360105183833</t>
  </si>
  <si>
    <t>Huma</t>
  </si>
  <si>
    <t>DN1201273</t>
  </si>
  <si>
    <t xml:space="preserve">R879 block 2 Azizabad FBArea Karachi </t>
  </si>
  <si>
    <t>03312836950</t>
  </si>
  <si>
    <t xml:space="preserve">Hasband </t>
  </si>
  <si>
    <t>Mustafa</t>
  </si>
  <si>
    <t>Khanda</t>
  </si>
  <si>
    <t>Muhammad haroon khanda</t>
  </si>
  <si>
    <t>Qh4128003</t>
  </si>
  <si>
    <t xml:space="preserve">Kawwal homes flat 104 jamshed road number 1 opposite qudsi masjid </t>
  </si>
  <si>
    <t>03052095755</t>
  </si>
  <si>
    <t>Zohra muhammad haroon</t>
  </si>
  <si>
    <t>03062055181</t>
  </si>
  <si>
    <t>Pk90bahl1259098100614501</t>
  </si>
  <si>
    <t>Mustafa s/o muhammad haroon</t>
  </si>
  <si>
    <t>Jc0878551</t>
  </si>
  <si>
    <t>03022108508</t>
  </si>
  <si>
    <t>ZOHRA</t>
  </si>
  <si>
    <t>Mother in law</t>
  </si>
  <si>
    <t xml:space="preserve">Aziz </t>
  </si>
  <si>
    <t>CV1791894</t>
  </si>
  <si>
    <t>+92 321 8286464</t>
  </si>
  <si>
    <t>Me</t>
  </si>
  <si>
    <t>03321374120</t>
  </si>
  <si>
    <t xml:space="preserve">MUHAMMAD ALI EDHI </t>
  </si>
  <si>
    <t>421011487931-1</t>
  </si>
  <si>
    <t>Mohd Nadeem chishti Rehmani</t>
  </si>
  <si>
    <t>Rehmani</t>
  </si>
  <si>
    <t xml:space="preserve">Nosheen Nadeem Rehmani </t>
  </si>
  <si>
    <t xml:space="preserve">Nadeem Rehmani </t>
  </si>
  <si>
    <t>LF9157672</t>
  </si>
  <si>
    <t>421011408767-0</t>
  </si>
  <si>
    <t xml:space="preserve">O Positive </t>
  </si>
  <si>
    <t xml:space="preserve">5/8 Rehmani Manzil firdous colony gulbahar Karachi </t>
  </si>
  <si>
    <t>03332179690</t>
  </si>
  <si>
    <t xml:space="preserve">Ahmed Nadeem Rehmani </t>
  </si>
  <si>
    <t>421012574635-9</t>
  </si>
  <si>
    <t>03332277114</t>
  </si>
  <si>
    <t>1269-0981-000-119-01-8</t>
  </si>
  <si>
    <t>Muhammad Kashan</t>
  </si>
  <si>
    <t>Kashan</t>
  </si>
  <si>
    <t>Munaf</t>
  </si>
  <si>
    <t>cw4841522</t>
  </si>
  <si>
    <t xml:space="preserve">Flat No 503, Baitulmadni Appartment, fuwwara chowk, garden west, karachi </t>
  </si>
  <si>
    <t>03712094084</t>
  </si>
  <si>
    <t>03131088408</t>
  </si>
  <si>
    <t>0303 3740058</t>
  </si>
  <si>
    <t xml:space="preserve">Nadeem chishti Rehmani </t>
  </si>
  <si>
    <t xml:space="preserve">Rehmani </t>
  </si>
  <si>
    <t xml:space="preserve">Noor Mohd Rehmani </t>
  </si>
  <si>
    <t>LR9159312</t>
  </si>
  <si>
    <t>42101-1487931-1</t>
  </si>
  <si>
    <t>42101-2574635-9</t>
  </si>
  <si>
    <t xml:space="preserve">Son </t>
  </si>
  <si>
    <t>1269-0981-000119-01-8</t>
  </si>
  <si>
    <t>GT5196184</t>
  </si>
  <si>
    <t>0303 2079886</t>
  </si>
  <si>
    <t>42201-3468696-3</t>
  </si>
  <si>
    <t>Hassan</t>
  </si>
  <si>
    <t>Muhammad Ilyas</t>
  </si>
  <si>
    <t>GC6806963</t>
  </si>
  <si>
    <t>A-+ (A-positive)</t>
  </si>
  <si>
    <t xml:space="preserve">Plot No. 175 ,Street No. 12 , Block 3 , C &amp; P Berar Society , Karachi </t>
  </si>
  <si>
    <t>+92 337 0317371</t>
  </si>
  <si>
    <t>42201-6417321-5</t>
  </si>
  <si>
    <t>+92 332 8231515</t>
  </si>
  <si>
    <t>PK29 MEZN 0001 9701 0893 2104</t>
  </si>
  <si>
    <t>Rubina</t>
  </si>
  <si>
    <t>Mohammad Iqbal</t>
  </si>
  <si>
    <t>DL1337213</t>
  </si>
  <si>
    <t xml:space="preserve">No idea </t>
  </si>
  <si>
    <t>+31 6 81778595</t>
  </si>
  <si>
    <t>03358103212</t>
  </si>
  <si>
    <t>42000-6577477-3</t>
  </si>
  <si>
    <t>Muhammed Owais Gul Ahmed</t>
  </si>
  <si>
    <t>Sandiyawala</t>
  </si>
  <si>
    <t xml:space="preserve">Muhammed Owais </t>
  </si>
  <si>
    <t>Gul Ahmed</t>
  </si>
  <si>
    <t>AA2694773</t>
  </si>
  <si>
    <t>Street no. 2 plot 46  bantwa Nagar liaquatabad, karachi</t>
  </si>
  <si>
    <t>03323766916</t>
  </si>
  <si>
    <t>03333766916</t>
  </si>
  <si>
    <t>Mohammad Anas</t>
  </si>
  <si>
    <t>03032016888</t>
  </si>
  <si>
    <t>PK31HABB0012207900938403</t>
  </si>
  <si>
    <t>Asif Ali</t>
  </si>
  <si>
    <t>Asif</t>
  </si>
  <si>
    <t>Wajid Ali</t>
  </si>
  <si>
    <t>LA1796194</t>
  </si>
  <si>
    <t>House no.604 sector 33/E korangi karachi</t>
  </si>
  <si>
    <t>03219270719</t>
  </si>
  <si>
    <t>Shagufta Asif</t>
  </si>
  <si>
    <t>Ahmed Raza</t>
  </si>
  <si>
    <t>03143266393</t>
  </si>
  <si>
    <t>Pk77mpbl 0126567140346130</t>
  </si>
  <si>
    <t xml:space="preserve">Sandiyawala </t>
  </si>
  <si>
    <t>Asma Owais</t>
  </si>
  <si>
    <t>AM2691401</t>
  </si>
  <si>
    <t>42101-1949140-4</t>
  </si>
  <si>
    <t>Plot no.46, street no.2, bantva Nagar, liaquatabad, karachi.</t>
  </si>
  <si>
    <t>03372570508</t>
  </si>
  <si>
    <t>0332 3766916</t>
  </si>
  <si>
    <t>5 members</t>
  </si>
  <si>
    <t xml:space="preserve">Shagufta </t>
  </si>
  <si>
    <t>AX1885624</t>
  </si>
  <si>
    <t>House no.604 sector 33/E korangi Karachi</t>
  </si>
  <si>
    <t>ASIF ALI</t>
  </si>
  <si>
    <t>Batool</t>
  </si>
  <si>
    <t>Zahra</t>
  </si>
  <si>
    <t>AT3409803</t>
  </si>
  <si>
    <t>42101-2240980-0</t>
  </si>
  <si>
    <t>O+ (O-Positive)</t>
  </si>
  <si>
    <t xml:space="preserve">Plot No.175 , Street No. 12 , Block 3 , C&amp;P Berar Society , karachi </t>
  </si>
  <si>
    <t xml:space="preserve">Muhammad Hassan </t>
  </si>
  <si>
    <t>Muhammad ilyas</t>
  </si>
  <si>
    <t>Father in Law</t>
  </si>
  <si>
    <t xml:space="preserve">MADNI RAZA </t>
  </si>
  <si>
    <t>RAZA</t>
  </si>
  <si>
    <t>MADNI</t>
  </si>
  <si>
    <t xml:space="preserve">Muhammad Haroon </t>
  </si>
  <si>
    <t>House No A-22 Sector 13-A Memon Nagar Gulzar E Hijri Scheme 33 Karachi</t>
  </si>
  <si>
    <t>03343175841</t>
  </si>
  <si>
    <t>Umm E Hani</t>
  </si>
  <si>
    <t>Ghulam Mustafa</t>
  </si>
  <si>
    <t>03121049727</t>
  </si>
  <si>
    <t>MUHAMMAD SAROSH</t>
  </si>
  <si>
    <t>SAROSH</t>
  </si>
  <si>
    <t>MARYAM</t>
  </si>
  <si>
    <t>AD5916041</t>
  </si>
  <si>
    <t>FLAT # 402, PLOT # 352, ADAM HEIGHTS, MISQUITTA ROAD, GARDEN EAST, KARACHI</t>
  </si>
  <si>
    <t>03298389924</t>
  </si>
  <si>
    <t>RAHEEL</t>
  </si>
  <si>
    <t>FATHER IN LAW</t>
  </si>
  <si>
    <t>03002210550</t>
  </si>
  <si>
    <t>PK84MUCB1158519791010032</t>
  </si>
  <si>
    <t>AA5918302</t>
  </si>
  <si>
    <t>03172452536</t>
  </si>
  <si>
    <t>FATHER</t>
  </si>
  <si>
    <t>Muhammad Abdul nafay</t>
  </si>
  <si>
    <t>Abdul Nafay</t>
  </si>
  <si>
    <t>MN1075702</t>
  </si>
  <si>
    <t xml:space="preserve">Kharadr paria street Karachi </t>
  </si>
  <si>
    <t>03180857491</t>
  </si>
  <si>
    <t>No</t>
  </si>
  <si>
    <t>Shahzad Ali akber</t>
  </si>
  <si>
    <t>03159255734</t>
  </si>
  <si>
    <t>42301-7880159-3</t>
  </si>
  <si>
    <t xml:space="preserve">Muhammad Waseem </t>
  </si>
  <si>
    <t>Waseem</t>
  </si>
  <si>
    <t>GP6854901</t>
  </si>
  <si>
    <t>42301-4822490-4</t>
  </si>
  <si>
    <t>Plot number 13/538 flat no b-307 area madina terrace garden east karachi LP</t>
  </si>
  <si>
    <t>0335-5118758</t>
  </si>
  <si>
    <t>Muhammad Usman</t>
  </si>
  <si>
    <t>42301-7547374-5</t>
  </si>
  <si>
    <t>0311-1263797</t>
  </si>
  <si>
    <t>Muhammad Waseem</t>
  </si>
  <si>
    <t>Muhammad farooq</t>
  </si>
  <si>
    <t>CD6851593</t>
  </si>
  <si>
    <t xml:space="preserve">Plot no 13/538, flat no b-307, Area madina terrace, Garden East, Karachi. </t>
  </si>
  <si>
    <t>03213317561</t>
  </si>
  <si>
    <t>42301-0962506-9</t>
  </si>
  <si>
    <t>03232797273</t>
  </si>
  <si>
    <t>Meezan</t>
  </si>
  <si>
    <t>Shakeel</t>
  </si>
  <si>
    <t>Muhammad shakeel</t>
  </si>
  <si>
    <t>Muhammad saleem</t>
  </si>
  <si>
    <t>Mb5163651</t>
  </si>
  <si>
    <t>Plot number 114 10R10 aziz road misri shah lahore</t>
  </si>
  <si>
    <t>03219484916</t>
  </si>
  <si>
    <t>03213333950</t>
  </si>
  <si>
    <t>Pk07mezn0002020108893940</t>
  </si>
  <si>
    <t>Muhammad imtiaz</t>
  </si>
  <si>
    <t>Imtiaz</t>
  </si>
  <si>
    <t>Muhammad ayoob</t>
  </si>
  <si>
    <t>AF1278563</t>
  </si>
  <si>
    <t>Flat no 402 zeenat garden chaman street gurumandir karachi</t>
  </si>
  <si>
    <t>+923152800888</t>
  </si>
  <si>
    <t>Muhammad inshal</t>
  </si>
  <si>
    <t>+923172146469</t>
  </si>
  <si>
    <t>00300109908825</t>
  </si>
  <si>
    <t>Muhammad anshal</t>
  </si>
  <si>
    <t>AU1270102</t>
  </si>
  <si>
    <t>B +</t>
  </si>
  <si>
    <t>+923102241424</t>
  </si>
  <si>
    <t>03172146469</t>
  </si>
  <si>
    <t xml:space="preserve">42301-0718493-1 </t>
  </si>
  <si>
    <t>Fahim</t>
  </si>
  <si>
    <t>Manodhrawala</t>
  </si>
  <si>
    <t>JL1074933</t>
  </si>
  <si>
    <t xml:space="preserve">Flat no.19, 5th floor, Imperial Garden, 337, Garden East, Karachi </t>
  </si>
  <si>
    <t>03202220465</t>
  </si>
  <si>
    <t>N/A</t>
  </si>
  <si>
    <t xml:space="preserve">Ayesha Fahim </t>
  </si>
  <si>
    <t xml:space="preserve">42301-9393945-2 </t>
  </si>
  <si>
    <t>03222688255</t>
  </si>
  <si>
    <t>PK50MEZN0001020108609685</t>
  </si>
  <si>
    <t>FAHIM</t>
  </si>
  <si>
    <t>42301-0794777-7</t>
  </si>
  <si>
    <t xml:space="preserve">Muhammad Kamran </t>
  </si>
  <si>
    <t xml:space="preserve">Kamran </t>
  </si>
  <si>
    <t>Muhammad Suleman</t>
  </si>
  <si>
    <t>CT4227774</t>
  </si>
  <si>
    <t>A</t>
  </si>
  <si>
    <t xml:space="preserve">Saddam Arcade, D Road, Street # 15, Bihar Colony Karachi </t>
  </si>
  <si>
    <t>0333-2368442</t>
  </si>
  <si>
    <t>42301-1723974-7</t>
  </si>
  <si>
    <t xml:space="preserve">Brother in-law </t>
  </si>
  <si>
    <t>0333-2768448</t>
  </si>
  <si>
    <t>PK16 UNIL 0109 0003 5511 8762</t>
  </si>
  <si>
    <t>42201-6105013-3</t>
  </si>
  <si>
    <t xml:space="preserve">Shahzaib Khan </t>
  </si>
  <si>
    <t xml:space="preserve">Shahzaib </t>
  </si>
  <si>
    <t>Abdul Waheed</t>
  </si>
  <si>
    <t>JG4130132</t>
  </si>
  <si>
    <t xml:space="preserve">A 127/216 Darakshan Society Malir Kalaboard Karachi </t>
  </si>
  <si>
    <t>0331-2848130</t>
  </si>
  <si>
    <t>Samina Rasheed</t>
  </si>
  <si>
    <t>42501-1193223-6</t>
  </si>
  <si>
    <t>0323-3312797</t>
  </si>
  <si>
    <t>PK28ABPA0010048086420010</t>
  </si>
  <si>
    <t>Shahzaib Khan</t>
  </si>
  <si>
    <t>Madni Raza</t>
  </si>
  <si>
    <t>Hani</t>
  </si>
  <si>
    <t>House No. A-22 Sector 13-A Memon Nagar Gulzar E Hijri Scheme 33</t>
  </si>
  <si>
    <t>Amreen Haroon</t>
  </si>
  <si>
    <t>Mother In Law</t>
  </si>
  <si>
    <t>03323560945</t>
  </si>
  <si>
    <t>MADNI RAZA</t>
  </si>
  <si>
    <t>MUHAMMAD HAROON</t>
  </si>
  <si>
    <t>House No A-22 Sector 13-A Memon Nagar Gulzar E Hijri Scheme 33</t>
  </si>
  <si>
    <t xml:space="preserve">Faizan </t>
  </si>
  <si>
    <t>Amanullah</t>
  </si>
  <si>
    <t>Flat No.5 Sanober Terrace Plot No.72, CP Berar Society Block 3 , Sharfabad</t>
  </si>
  <si>
    <t>03002190129</t>
  </si>
  <si>
    <t>03212071717</t>
  </si>
  <si>
    <t xml:space="preserve">Shoaib Ahmed </t>
  </si>
  <si>
    <t xml:space="preserve">Anum Shoaib </t>
  </si>
  <si>
    <t xml:space="preserve">Shoaib ahmed </t>
  </si>
  <si>
    <t>Gf5196362</t>
  </si>
  <si>
    <t xml:space="preserve">Shop no 3 aqsa autos Akber Road sadder </t>
  </si>
  <si>
    <t>04132388378</t>
  </si>
  <si>
    <t>Hasband</t>
  </si>
  <si>
    <t xml:space="preserve">Junaid </t>
  </si>
  <si>
    <t>0314291472529</t>
  </si>
  <si>
    <t>Pk98alfh02121003819518</t>
  </si>
  <si>
    <t xml:space="preserve">Aqsa autos </t>
  </si>
  <si>
    <t>Hussain</t>
  </si>
  <si>
    <t>TL6907571</t>
  </si>
  <si>
    <t xml:space="preserve">Sobia heaven Jamshed road Fatima Jinnah colony Karachi </t>
  </si>
  <si>
    <t>03208312249</t>
  </si>
  <si>
    <t xml:space="preserve">Saleem </t>
  </si>
  <si>
    <t>03222321957</t>
  </si>
  <si>
    <t>PK35BAHL1046098100566001</t>
  </si>
  <si>
    <t xml:space="preserve">Muhammad Hussain </t>
  </si>
  <si>
    <t>Aasia</t>
  </si>
  <si>
    <t>Flat No.5 Sanober Terrace, plot No.72 CP Berar Society Block 3 Sharfabad</t>
  </si>
  <si>
    <t>03213860304</t>
  </si>
  <si>
    <t>Husband Brother</t>
  </si>
  <si>
    <t xml:space="preserve"> 42201-6105013-3 </t>
  </si>
  <si>
    <t>Shahzaib khan</t>
  </si>
  <si>
    <t>Sarfaraz</t>
  </si>
  <si>
    <t xml:space="preserve">Uroosa </t>
  </si>
  <si>
    <t>42501-9366754-2</t>
  </si>
  <si>
    <t xml:space="preserve">LS 35 Block C bagh e Malir, Karachi </t>
  </si>
  <si>
    <t>03142195756</t>
  </si>
  <si>
    <t xml:space="preserve">Shahzaib khan </t>
  </si>
  <si>
    <t>Sarfaraz Khan</t>
  </si>
  <si>
    <t>42501-6422836-7</t>
  </si>
  <si>
    <t>0333-2214519</t>
  </si>
  <si>
    <t>PK12MEZN0001750115190958</t>
  </si>
  <si>
    <t xml:space="preserve">Uroosa Sarfaraz </t>
  </si>
  <si>
    <t>Khudeja</t>
  </si>
  <si>
    <t>QL9995692</t>
  </si>
  <si>
    <t>03342995454</t>
  </si>
  <si>
    <t>42201-5291597-9</t>
  </si>
  <si>
    <t>syed noshad hussain</t>
  </si>
  <si>
    <t>hussain</t>
  </si>
  <si>
    <t>Syed noshad</t>
  </si>
  <si>
    <t>syed fayyaz hussain</t>
  </si>
  <si>
    <t>AC6895974</t>
  </si>
  <si>
    <t>b positive</t>
  </si>
  <si>
    <t>Flate # 7 and 8, Sumaira arcade block N North Nazimabad Karachi</t>
  </si>
  <si>
    <t>03002409550</t>
  </si>
  <si>
    <t>not applicable</t>
  </si>
  <si>
    <t>not applica le</t>
  </si>
  <si>
    <t>Shah Muhammad Rashif Atta</t>
  </si>
  <si>
    <t>03072085968</t>
  </si>
  <si>
    <t>PK55MPBL9702647140140292</t>
  </si>
  <si>
    <t>Syed Noshad Hussain</t>
  </si>
  <si>
    <t>Atta</t>
  </si>
  <si>
    <t>Humaira atta</t>
  </si>
  <si>
    <t>Syed Noshad Hussain (husband)</t>
  </si>
  <si>
    <t>AJ1499243</t>
  </si>
  <si>
    <t>flate # 07 and 08, Sumaira arcade block N north Nazimabad, karachi</t>
  </si>
  <si>
    <t>03120575978</t>
  </si>
  <si>
    <t>Shah Muhammad Rashid Atta</t>
  </si>
  <si>
    <t>brother</t>
  </si>
  <si>
    <t>PK66MPBL9702637140140628</t>
  </si>
  <si>
    <t>Humaira Atta</t>
  </si>
  <si>
    <t xml:space="preserve"> Sarfaraz </t>
  </si>
  <si>
    <t>Sania</t>
  </si>
  <si>
    <t xml:space="preserve">Sarfaraz khan </t>
  </si>
  <si>
    <t>CY5983942</t>
  </si>
  <si>
    <t>42201-0547394-0</t>
  </si>
  <si>
    <t xml:space="preserve">LS-35 Block C Bagh e Malir Karachi </t>
  </si>
  <si>
    <t>0334111709</t>
  </si>
  <si>
    <t>03253584860</t>
  </si>
  <si>
    <t xml:space="preserve">Son in-laws </t>
  </si>
  <si>
    <t>Faraz khan</t>
  </si>
  <si>
    <t>42501-2056901-9</t>
  </si>
  <si>
    <t>03332900819</t>
  </si>
  <si>
    <t>PK 70 ABPA 0010019178500012</t>
  </si>
  <si>
    <t xml:space="preserve">Sania Sarfaraz </t>
  </si>
  <si>
    <t xml:space="preserve">Muhammad Saleem Taufiq </t>
  </si>
  <si>
    <t>TOUFIQ</t>
  </si>
  <si>
    <t xml:space="preserve">Muhammad Saleem </t>
  </si>
  <si>
    <t>Muhammad umer</t>
  </si>
  <si>
    <t>AB7982423</t>
  </si>
  <si>
    <t xml:space="preserve">Plot no BR1/51 QASR-E-UMAR BUILDING 5TH FLOOR FLAT NO 17 NEAR QUAID-E-AZAM BIRTH PLACE KHARADAR KARACHI </t>
  </si>
  <si>
    <t>03351257940</t>
  </si>
  <si>
    <t>Tanveer umer</t>
  </si>
  <si>
    <t>03242337489</t>
  </si>
  <si>
    <t>01140109629944</t>
  </si>
  <si>
    <t>Anwar</t>
  </si>
  <si>
    <t>Anwar alam</t>
  </si>
  <si>
    <t>ZL1807362</t>
  </si>
  <si>
    <t>0333 3753590</t>
  </si>
  <si>
    <t xml:space="preserve">Sabhi </t>
  </si>
  <si>
    <t xml:space="preserve">Fuzail </t>
  </si>
  <si>
    <t>AB</t>
  </si>
  <si>
    <t xml:space="preserve">R-879 Block -8 Azizabad FBArea Karachi </t>
  </si>
  <si>
    <t>PK52MEZN0099360@05183833</t>
  </si>
  <si>
    <t>Qamr un nisa</t>
  </si>
  <si>
    <t>Irteza imtiaz</t>
  </si>
  <si>
    <t>O posetive</t>
  </si>
  <si>
    <t>House 855 sector 13/g block c gabool colony orangi town karachi</t>
  </si>
  <si>
    <t>03132600285</t>
  </si>
  <si>
    <t>Ahmed Ali</t>
  </si>
  <si>
    <t>Touqeer tahir</t>
  </si>
  <si>
    <t xml:space="preserve">Friend </t>
  </si>
  <si>
    <t>03394004945</t>
  </si>
  <si>
    <t>AHMED ALI/SANA</t>
  </si>
  <si>
    <t xml:space="preserve">Toufiq </t>
  </si>
  <si>
    <t xml:space="preserve">Muhammad Umer </t>
  </si>
  <si>
    <t xml:space="preserve">Plot No. BR1/51 QASR-E-UMAR BUILDING 5TH FLOOR FLAT NO 17 NEAR QUAID-E-AZAM BIRTH PLACE KHARADAR KARACHI </t>
  </si>
  <si>
    <t xml:space="preserve">Tanveer Umer </t>
  </si>
  <si>
    <t xml:space="preserve">Umme Haniya </t>
  </si>
  <si>
    <t xml:space="preserve">R-879 block 8 Azizabad FBArea Karachi </t>
  </si>
  <si>
    <t xml:space="preserve">Afraz Ahmed </t>
  </si>
  <si>
    <t>Afraz</t>
  </si>
  <si>
    <t>Sarfaraz hussain saqib</t>
  </si>
  <si>
    <t>FH1156825</t>
  </si>
  <si>
    <t>House No R10 sector 34/2 korangi no 3 karachi</t>
  </si>
  <si>
    <t>03361986222</t>
  </si>
  <si>
    <t>Nighat Afraz</t>
  </si>
  <si>
    <t>03340768485</t>
  </si>
  <si>
    <t>PK02MEZN0001890107264776</t>
  </si>
  <si>
    <t xml:space="preserve">Afraz ahmed </t>
  </si>
  <si>
    <t>Hudda</t>
  </si>
  <si>
    <t xml:space="preserve">Noorul </t>
  </si>
  <si>
    <t xml:space="preserve">R879 Block 8 Azizabad FBArea Karachi </t>
  </si>
  <si>
    <t>PK55MEZN0099360105183833</t>
  </si>
  <si>
    <t>Sadia</t>
  </si>
  <si>
    <t>QU5750831</t>
  </si>
  <si>
    <t>03312616817</t>
  </si>
  <si>
    <t>Devar</t>
  </si>
  <si>
    <t>BAI</t>
  </si>
  <si>
    <t>KHATIJA</t>
  </si>
  <si>
    <t xml:space="preserve">Muhammad Umer Suleman </t>
  </si>
  <si>
    <t>ES3990432</t>
  </si>
  <si>
    <t>42301-3506163-5</t>
  </si>
  <si>
    <t xml:space="preserve">Mohsin </t>
  </si>
  <si>
    <t>AQ0111632</t>
  </si>
  <si>
    <t>423013506163-5</t>
  </si>
  <si>
    <t xml:space="preserve">417 block 3 FB area </t>
  </si>
  <si>
    <t>03222344088</t>
  </si>
  <si>
    <t>Noorsaba</t>
  </si>
  <si>
    <t xml:space="preserve">Ali Muhammad </t>
  </si>
  <si>
    <t>42301-8042855-5</t>
  </si>
  <si>
    <t>03092002357</t>
  </si>
  <si>
    <t>PK08MPBL1101567140107532</t>
  </si>
  <si>
    <t xml:space="preserve">Muhammad Mohsin </t>
  </si>
  <si>
    <t>TALHA AHMED</t>
  </si>
  <si>
    <t>Abdul Latif</t>
  </si>
  <si>
    <t>YG1164552</t>
  </si>
  <si>
    <t>A Positive</t>
  </si>
  <si>
    <t>Jamshed Road # 1, Karachi</t>
  </si>
  <si>
    <t>03212428645</t>
  </si>
  <si>
    <t>Hira Talha</t>
  </si>
  <si>
    <t>03342424645</t>
  </si>
  <si>
    <t>PK13HABB0050007914957799</t>
  </si>
  <si>
    <t xml:space="preserve">Muhammed ADEEL </t>
  </si>
  <si>
    <t xml:space="preserve">ADEEL </t>
  </si>
  <si>
    <t xml:space="preserve">MUHAMMAD YOUSUF </t>
  </si>
  <si>
    <t>BB1400342</t>
  </si>
  <si>
    <t>310 flat Safa tower mackwich road Abigail street karachi</t>
  </si>
  <si>
    <t>03308113277</t>
  </si>
  <si>
    <t>M Bilal</t>
  </si>
  <si>
    <t>Cousion</t>
  </si>
  <si>
    <t>03328825153</t>
  </si>
  <si>
    <t>Pk84MEZN0099160109550886</t>
  </si>
  <si>
    <t>Muhammad adeel</t>
  </si>
  <si>
    <t>Anwer</t>
  </si>
  <si>
    <t>Khubaib</t>
  </si>
  <si>
    <t>Muhammad raza</t>
  </si>
  <si>
    <t xml:space="preserve">Sana palace 7 flour flat number 702 near garden west opp Faizan e milad masjid garden medical karachi
</t>
  </si>
  <si>
    <t>03223132477</t>
  </si>
  <si>
    <t>03331360386</t>
  </si>
  <si>
    <t>03310242495</t>
  </si>
  <si>
    <t>Pk04fays0437007000003146</t>
  </si>
  <si>
    <t>Muhammad Anwer</t>
  </si>
  <si>
    <t>Muhammad Raza</t>
  </si>
  <si>
    <t xml:space="preserve">Muhammad Anwer </t>
  </si>
  <si>
    <t>Sana palace 7 floor flat number 702 near Faizan e milad masjid garden medical karachi</t>
  </si>
  <si>
    <t xml:space="preserve">Muhammad Kashif </t>
  </si>
  <si>
    <t>Parmar</t>
  </si>
  <si>
    <t xml:space="preserve">Muhammad Rafiq Parmar </t>
  </si>
  <si>
    <t xml:space="preserve">Plot No 1732/427-A near Ali children secondary school Baldia Town Karachi </t>
  </si>
  <si>
    <t>03003372647</t>
  </si>
  <si>
    <t>Faiza Kashif</t>
  </si>
  <si>
    <t>03152648419</t>
  </si>
  <si>
    <t>PK03MEZN0010300113218925</t>
  </si>
  <si>
    <t>Shabbir</t>
  </si>
  <si>
    <t>Muhammad Siraj</t>
  </si>
  <si>
    <t>BW5131281</t>
  </si>
  <si>
    <t>B POSITIVE</t>
  </si>
  <si>
    <t>149 CP BERAR SOCIETY BLOCK 7/8 KARACHI.</t>
  </si>
  <si>
    <t>03212864186</t>
  </si>
  <si>
    <t>ANILA ABDUL RAZZAK</t>
  </si>
  <si>
    <t xml:space="preserve">MOTHER IN LAW </t>
  </si>
  <si>
    <t>03323185648</t>
  </si>
  <si>
    <t>PK98FAYS3026307900047211</t>
  </si>
  <si>
    <t>Kashif</t>
  </si>
  <si>
    <t xml:space="preserve">Faiza </t>
  </si>
  <si>
    <t xml:space="preserve">Abdul Karim </t>
  </si>
  <si>
    <t>03111909070</t>
  </si>
  <si>
    <t>PK MEZN0010300113218925</t>
  </si>
  <si>
    <t>KAPADIA</t>
  </si>
  <si>
    <t>SAMEER</t>
  </si>
  <si>
    <t>MUHAMMAD SIRAJ</t>
  </si>
  <si>
    <t>BD5224552</t>
  </si>
  <si>
    <t>1/1/0001</t>
  </si>
  <si>
    <t>03353087973</t>
  </si>
  <si>
    <t>SANA MUHAMMAD AAMIR</t>
  </si>
  <si>
    <t>03222177020</t>
  </si>
  <si>
    <t>PK84MEZN0001220109956781</t>
  </si>
  <si>
    <t xml:space="preserve">KASHIF </t>
  </si>
  <si>
    <t xml:space="preserve">Muhammad RAFIQ PARMAR </t>
  </si>
  <si>
    <t>Halima Rafiq</t>
  </si>
  <si>
    <t>03192018228</t>
  </si>
  <si>
    <t>PKMEZN001010300113218925</t>
  </si>
  <si>
    <t>SALMA SIRAJ</t>
  </si>
  <si>
    <t>BW5982302</t>
  </si>
  <si>
    <t>03343747191</t>
  </si>
  <si>
    <t>Salman</t>
  </si>
  <si>
    <t>memon</t>
  </si>
  <si>
    <t>Abdul hameed</t>
  </si>
  <si>
    <t>PR5753521</t>
  </si>
  <si>
    <t>Plot number 180 sana bridge view gardan west near liyari express karachi 74500</t>
  </si>
  <si>
    <t>03322170732</t>
  </si>
  <si>
    <t>03102544773</t>
  </si>
  <si>
    <t>RABIYA SHABBIR</t>
  </si>
  <si>
    <t>CX5131301</t>
  </si>
  <si>
    <t>149 CP BERAR SOCIETY BLOCK 7/8</t>
  </si>
  <si>
    <t>03342627023</t>
  </si>
  <si>
    <t>DAUGHTER</t>
  </si>
  <si>
    <t>Ume Hafsa salman</t>
  </si>
  <si>
    <t>QA5756191</t>
  </si>
  <si>
    <t>O nagative</t>
  </si>
  <si>
    <t>Plot no 180 gardan west sana bridge view near liyari express karachi 74500.</t>
  </si>
  <si>
    <t>03343577623</t>
  </si>
  <si>
    <t>MALAIKA</t>
  </si>
  <si>
    <t>NP9991312</t>
  </si>
  <si>
    <t>149 CP BERAR SOCIETY BLOCK 7/8 KARACHI</t>
  </si>
  <si>
    <t>03212329527</t>
  </si>
  <si>
    <t>MUHAMMAD ANWAR</t>
  </si>
  <si>
    <t>ANWAR</t>
  </si>
  <si>
    <t>ABDUL RAZZAK</t>
  </si>
  <si>
    <t>ZP1857301</t>
  </si>
  <si>
    <t>FLAT NO. J-O4 YAQOOB TERRACE G.R.E.671JEHANGIR ROAD KARACHI</t>
  </si>
  <si>
    <t>03333551044</t>
  </si>
  <si>
    <t>NA</t>
  </si>
  <si>
    <t>MISBAH SALMAN</t>
  </si>
  <si>
    <t>03322191271</t>
  </si>
  <si>
    <t>PK23 MEZN 0099 1701 0851 0446</t>
  </si>
  <si>
    <t>Muhammad Yamin</t>
  </si>
  <si>
    <t>Yamin</t>
  </si>
  <si>
    <t>Muhammad Yousuf</t>
  </si>
  <si>
    <t>Plot # JM 1/113 flat # 101 1st floor hira heights dayaram gidumal road parsi colony karachi</t>
  </si>
  <si>
    <t>03362496476</t>
  </si>
  <si>
    <t>Muhammad Kashif</t>
  </si>
  <si>
    <t>03342680896</t>
  </si>
  <si>
    <t>Pk15mezn0001390108559032</t>
  </si>
  <si>
    <t>Muhammad Shakeel</t>
  </si>
  <si>
    <t>SHAKEEL</t>
  </si>
  <si>
    <t xml:space="preserve">MUHAMMAD </t>
  </si>
  <si>
    <t xml:space="preserve">MUHAMMAD HUSSAIN </t>
  </si>
  <si>
    <t>AD5169055</t>
  </si>
  <si>
    <t>Ibrahim center ghanchi para Ireland Road flat #48 Karachi</t>
  </si>
  <si>
    <t>03002161984</t>
  </si>
  <si>
    <t xml:space="preserve">Naveed Hussain </t>
  </si>
  <si>
    <t>03002397442</t>
  </si>
  <si>
    <t>0103501010029983</t>
  </si>
  <si>
    <t>MUHAMMAD SHAKIL</t>
  </si>
  <si>
    <t xml:space="preserve">Muhammad Yamin </t>
  </si>
  <si>
    <t>Reema</t>
  </si>
  <si>
    <t>AY1988123</t>
  </si>
  <si>
    <t>03317694085</t>
  </si>
  <si>
    <t>03361251265</t>
  </si>
  <si>
    <t>MUHAMMAD SHAKEEL</t>
  </si>
  <si>
    <t>ZAINAB</t>
  </si>
  <si>
    <t>MUHAMMAD HUSSAIN BACHO</t>
  </si>
  <si>
    <t>ES3990854</t>
  </si>
  <si>
    <t xml:space="preserve">B Positive </t>
  </si>
  <si>
    <t xml:space="preserve">IBRAHIM CENTER GHANCHI PARA IRELAND ROAD FLAT#56 KARACHI </t>
  </si>
  <si>
    <t xml:space="preserve">Shakil </t>
  </si>
  <si>
    <t xml:space="preserve">MUHAMMAD SHAKEEL </t>
  </si>
  <si>
    <t>MADIHA</t>
  </si>
  <si>
    <t>CT5169792</t>
  </si>
  <si>
    <t>IBRAHIM CENTER GHANCHI PARA IRELAND ROAD FLAT#48 KARACHI</t>
  </si>
  <si>
    <t>03232171298</t>
  </si>
  <si>
    <t xml:space="preserve">Muhammad SHAKIL </t>
  </si>
  <si>
    <t xml:space="preserve">SHAKEEL </t>
  </si>
  <si>
    <t xml:space="preserve">NADEEM </t>
  </si>
  <si>
    <t>CC9459044</t>
  </si>
  <si>
    <t xml:space="preserve">IBRAHIM CENTER GHANCHI PARA IRELAND ROAD Flat #56 Karachi </t>
  </si>
  <si>
    <t>03002174493</t>
  </si>
  <si>
    <t xml:space="preserve">NAVEED HUSSAIN </t>
  </si>
  <si>
    <t xml:space="preserve">MUHAMMAD SHAKIL </t>
  </si>
  <si>
    <t>BANO</t>
  </si>
  <si>
    <t>NOSHEEN</t>
  </si>
  <si>
    <t>MUHAMMAD NADEEM</t>
  </si>
  <si>
    <t>CD3793163</t>
  </si>
  <si>
    <t xml:space="preserve">IBRAHIM CENTER GHANCHI PARA IRELAND ROAD FLAT #56 KARACHI </t>
  </si>
  <si>
    <t>Saleem chalchal</t>
  </si>
  <si>
    <t>42301-1007248-1</t>
  </si>
  <si>
    <t>Jamshed road bilal residency near pick &amp; save super market</t>
  </si>
  <si>
    <t>03333971847</t>
  </si>
  <si>
    <t>03131267873</t>
  </si>
  <si>
    <t>Muhammad kamran</t>
  </si>
  <si>
    <t>42301-4934147-3</t>
  </si>
  <si>
    <t>03022443178</t>
  </si>
  <si>
    <t xml:space="preserve">Sana </t>
  </si>
  <si>
    <t>GE5754822</t>
  </si>
  <si>
    <t>42301-5106482-4</t>
  </si>
  <si>
    <t>Jamshed road bilal residency near pick &amp; save super store</t>
  </si>
  <si>
    <t>+92 321 3685844</t>
  </si>
  <si>
    <t>42301-49147-3</t>
  </si>
  <si>
    <t>Kanwal Iqbal</t>
  </si>
  <si>
    <t>42301-0435950-2</t>
  </si>
  <si>
    <t>Housev45, Street 2:,Bantva Nagar, Karachi</t>
  </si>
  <si>
    <t>0336-1892357</t>
  </si>
  <si>
    <t>Spouse</t>
  </si>
  <si>
    <t>0321-9243537</t>
  </si>
  <si>
    <t>Mateen Bilwnai</t>
  </si>
  <si>
    <t>42301-3164830-6</t>
  </si>
  <si>
    <t>House 45, Street 2 Bantva Nagar ,Karachi</t>
  </si>
  <si>
    <t>0331-2866863</t>
  </si>
  <si>
    <t>Mariam</t>
  </si>
  <si>
    <t xml:space="preserve"> </t>
  </si>
  <si>
    <t>BM0943033</t>
  </si>
  <si>
    <t>42201-5517303-4</t>
  </si>
  <si>
    <t>Plot GRE-244 Fatima Homes Flat 103 Issardas Street Garden East Karachi</t>
  </si>
  <si>
    <t>Ghaffar</t>
  </si>
  <si>
    <t>Abdul Ghaffar</t>
  </si>
  <si>
    <t>Flat No. SR-13-201, 2nd Floor, Hussain Centre, Jang Press, Muhammad Bin Qasim Road, Karachi South, Karachi, Pakistan.</t>
  </si>
  <si>
    <t>03002120976</t>
  </si>
  <si>
    <t>Shah Rukh Khan</t>
  </si>
  <si>
    <t>03009771159</t>
  </si>
  <si>
    <t>Shahida</t>
  </si>
  <si>
    <t>QQ5754401</t>
  </si>
  <si>
    <t>Flat 204, plot GK-72-7/71 baghe zehra nakhuda street kharadar karachi</t>
  </si>
  <si>
    <t>03372158993</t>
  </si>
  <si>
    <t>Muhammad Bilal</t>
  </si>
  <si>
    <t>03207681718</t>
  </si>
  <si>
    <t>Abdul Aziz Memon</t>
  </si>
  <si>
    <t>Muhammad Yaqoob</t>
  </si>
  <si>
    <t>Flat No. 602, 6th Floor, Naval Flats 601–602,
Mohalla Agra Taj Colony,
Karachi South, Karachi, Pakistan.</t>
  </si>
  <si>
    <t>032028261265</t>
  </si>
  <si>
    <t>Muhammad Altaf</t>
  </si>
  <si>
    <t>Som</t>
  </si>
  <si>
    <t>PK33 MEZN 0001 0301 0008 8104</t>
  </si>
  <si>
    <t>Muhammad ALTAF</t>
  </si>
  <si>
    <t>PR5752312</t>
  </si>
  <si>
    <t>Flat 204 plot GK-72-7/71, BAGH-E-ZEHRA,NAKHUDA STREET,KHARADAR KARACHI</t>
  </si>
  <si>
    <t>03323650341</t>
  </si>
  <si>
    <t>+923207681718</t>
  </si>
  <si>
    <t>10140081001068010</t>
  </si>
  <si>
    <t>Aziz</t>
  </si>
  <si>
    <t>Zahida</t>
  </si>
  <si>
    <t>03208261265</t>
  </si>
  <si>
    <t>PK33MEZN0001030100088104</t>
  </si>
  <si>
    <t>42201-2363995-3</t>
  </si>
  <si>
    <t>Noman</t>
  </si>
  <si>
    <t>Nafees</t>
  </si>
  <si>
    <t>BT9209951</t>
  </si>
  <si>
    <t>Jamshed town</t>
  </si>
  <si>
    <t>03242942119</t>
  </si>
  <si>
    <t>Sadaf</t>
  </si>
  <si>
    <t>422012363995-3</t>
  </si>
  <si>
    <t>HALIMA</t>
  </si>
  <si>
    <t xml:space="preserve">Plot No 1735/427-A near Ali children secondary school Baldia Town Karachi </t>
  </si>
  <si>
    <t>PK03MEZN001300113218925</t>
  </si>
  <si>
    <t>Liaquat Ali</t>
  </si>
  <si>
    <t xml:space="preserve">MUHAMMAD ADEEL </t>
  </si>
  <si>
    <t>FV1402351</t>
  </si>
  <si>
    <t xml:space="preserve">Flat 310 Safa tower mackwich road Abigail street karachi </t>
  </si>
  <si>
    <t>03323188501</t>
  </si>
  <si>
    <t>Adeel</t>
  </si>
  <si>
    <t>Maria</t>
  </si>
  <si>
    <t xml:space="preserve">Sister </t>
  </si>
  <si>
    <t>03342015228</t>
  </si>
  <si>
    <t xml:space="preserve">Muhammad adeel </t>
  </si>
  <si>
    <t>DD3799373</t>
  </si>
  <si>
    <t>42101-9966937</t>
  </si>
  <si>
    <t xml:space="preserve">Jamshed town </t>
  </si>
  <si>
    <t>03333487797</t>
  </si>
  <si>
    <t>Muhammad Asif</t>
  </si>
  <si>
    <t>Muhammad Noman</t>
  </si>
  <si>
    <t>BA1711172</t>
  </si>
  <si>
    <t>b+</t>
  </si>
  <si>
    <t>baldia town 4:30 number  madina colony house no  1725/219</t>
  </si>
  <si>
    <t>03323988145</t>
  </si>
  <si>
    <t>Faizan ansari</t>
  </si>
  <si>
    <t>03232101654</t>
  </si>
  <si>
    <t>PK46mezn0099090107649355</t>
  </si>
  <si>
    <t>Muhammad Abid</t>
  </si>
  <si>
    <t>Abid</t>
  </si>
  <si>
    <t>Wali muhammad</t>
  </si>
  <si>
    <t>CV1079713</t>
  </si>
  <si>
    <t>Makan no BH251 gali muhalla baba jazira kemari Karachi Pakistan</t>
  </si>
  <si>
    <t>+923042666509</t>
  </si>
  <si>
    <t>+923462169330</t>
  </si>
  <si>
    <t>Shazia bano</t>
  </si>
  <si>
    <t>Sameer</t>
  </si>
  <si>
    <t>+923272718400</t>
  </si>
  <si>
    <t>PK73 BAHL 1076008101060801</t>
  </si>
  <si>
    <t>10760081010608013</t>
  </si>
  <si>
    <t>Nomanm</t>
  </si>
  <si>
    <t>Sobia</t>
  </si>
  <si>
    <t>BE9203161</t>
  </si>
  <si>
    <t>03121033291</t>
  </si>
  <si>
    <t>Abdul rehman</t>
  </si>
  <si>
    <t>03111276930</t>
  </si>
  <si>
    <t>PK31mezn0010300112676676</t>
  </si>
  <si>
    <t>sobia</t>
  </si>
  <si>
    <t>Muhammad abid</t>
  </si>
  <si>
    <t xml:space="preserve">Wali Muhammad </t>
  </si>
  <si>
    <t>CV1097713</t>
  </si>
  <si>
    <t>House number bh_ 251 mohalla badala Gali jazera baba Keamari karachi garbi</t>
  </si>
  <si>
    <t>03272718400</t>
  </si>
  <si>
    <t>Sumair</t>
  </si>
  <si>
    <t>Pk73 Bahl 1076 0081 0106 0801</t>
  </si>
  <si>
    <t>Muhammad abid/Shazia bano</t>
  </si>
  <si>
    <t>Muhammad NOman</t>
  </si>
  <si>
    <t>Ibrahim</t>
  </si>
  <si>
    <t>Zaib un Nisa</t>
  </si>
  <si>
    <t>MUhammad IBrahim Ansari</t>
  </si>
  <si>
    <t>EU1029651</t>
  </si>
  <si>
    <t>Faizan Ansari</t>
  </si>
  <si>
    <t>son</t>
  </si>
  <si>
    <t>PK81mezn0010300112676455</t>
  </si>
  <si>
    <t>zaibun nisa</t>
  </si>
  <si>
    <t>CJ6788012</t>
  </si>
  <si>
    <t>Baba jazera badala Muhalla Kemari karachi gharbi</t>
  </si>
  <si>
    <t>03432700137</t>
  </si>
  <si>
    <t>Jangda</t>
  </si>
  <si>
    <t>Abdul Sattar</t>
  </si>
  <si>
    <t>AB8729744</t>
  </si>
  <si>
    <t>Flat No. 20, Floor 4 BR 1/34, Mohalla Altaf, Cloth Market, Bombay Bazaar, Karachi South, Karachi, Pakistan</t>
  </si>
  <si>
    <t>03323127879</t>
  </si>
  <si>
    <t>Muhammad Hamza</t>
  </si>
  <si>
    <t>03222446700</t>
  </si>
  <si>
    <t>Fareed Hussain</t>
  </si>
  <si>
    <t>Munira</t>
  </si>
  <si>
    <t>Khalid Aziz</t>
  </si>
  <si>
    <t>42301-5508466-0</t>
  </si>
  <si>
    <t>Rabia blessing flat no 805 near mehran bakery kharadar karachi</t>
  </si>
  <si>
    <t>03232909260</t>
  </si>
  <si>
    <t>Zain</t>
  </si>
  <si>
    <t>42301-1289067-7</t>
  </si>
  <si>
    <t>03081436048</t>
  </si>
  <si>
    <t>PK65FAYS3492301000002255</t>
  </si>
  <si>
    <t xml:space="preserve">MUNEERA </t>
  </si>
  <si>
    <t>Mc0002621</t>
  </si>
  <si>
    <t>Husbend</t>
  </si>
  <si>
    <t>Pk73bahl 1076 0081 0106 0801</t>
  </si>
  <si>
    <t>Samina</t>
  </si>
  <si>
    <t>AL5203395</t>
  </si>
  <si>
    <t>03332176761</t>
  </si>
  <si>
    <t>Hamza</t>
  </si>
  <si>
    <t>An5229252</t>
  </si>
  <si>
    <t>Makan number b-251 Muhalla badala jazera harbour Kemari karachi gharbi</t>
  </si>
  <si>
    <t>03462169330</t>
  </si>
  <si>
    <t>Pk73bahl1076 0081 0106 0801</t>
  </si>
  <si>
    <t>1 Person</t>
  </si>
  <si>
    <t>TALHA</t>
  </si>
  <si>
    <t>ADAM ALI</t>
  </si>
  <si>
    <t>AL7746352</t>
  </si>
  <si>
    <t>Flat no # 209, Memon Plaza, Lakra Gali, Ghanchi para, Old Haji Camp, Karachi.</t>
  </si>
  <si>
    <t>03089567285</t>
  </si>
  <si>
    <t>Adam Ali</t>
  </si>
  <si>
    <t>03232835010</t>
  </si>
  <si>
    <t>PK05MEZN0099160109352003</t>
  </si>
  <si>
    <t>MUHAMMAD TALHA (ASAAN AC)</t>
  </si>
  <si>
    <t xml:space="preserve"> Abdullah</t>
  </si>
  <si>
    <t>Muzammil Abdul Wahab</t>
  </si>
  <si>
    <t>ML1079702</t>
  </si>
  <si>
    <t>Plot no D_5 madistic plaza 6 Floor Flat No 601 Block 8 clifton Karachi</t>
  </si>
  <si>
    <t>Mamu</t>
  </si>
  <si>
    <t>MAJEED</t>
  </si>
  <si>
    <t>NOORJAHAN</t>
  </si>
  <si>
    <t>ABDUL MAJEED</t>
  </si>
  <si>
    <t>RABIA BLESSING FLAT NO 805 NEAR MEHRAN BAKERY KHARADAR KARACHI</t>
  </si>
  <si>
    <t>03012993362</t>
  </si>
  <si>
    <t>FAREED HUSSAIN</t>
  </si>
  <si>
    <t>03212259939</t>
  </si>
  <si>
    <t>PK09FAYS3492301000002263</t>
  </si>
  <si>
    <t>Fareee</t>
  </si>
  <si>
    <t>DN6894124</t>
  </si>
  <si>
    <t>03212259938</t>
  </si>
  <si>
    <t>MUNIRA</t>
  </si>
  <si>
    <t>PK06MBPL0146027140115381</t>
  </si>
  <si>
    <t>MUHAMMAD YOUSUF</t>
  </si>
  <si>
    <t>B Negative</t>
  </si>
  <si>
    <t>03225312394</t>
  </si>
  <si>
    <t>Fareed hussain</t>
  </si>
  <si>
    <t>PK09FAYS03492301000002263</t>
  </si>
  <si>
    <t>Abdul Majeee</t>
  </si>
  <si>
    <t>42301-0953211-7</t>
  </si>
  <si>
    <t>Abdul Ghafoor khan</t>
  </si>
  <si>
    <t xml:space="preserve">Abdul Ghafoor </t>
  </si>
  <si>
    <t>Abdul Shakoor khan</t>
  </si>
  <si>
    <t>KH4102113</t>
  </si>
  <si>
    <t>R1023 sector 15B Bufferzone karachi</t>
  </si>
  <si>
    <t>03212209988</t>
  </si>
  <si>
    <t xml:space="preserve">Muhammad Fahad khan </t>
  </si>
  <si>
    <t>42301-3914360-7</t>
  </si>
  <si>
    <t>03333160713</t>
  </si>
  <si>
    <t>0170 0108376148</t>
  </si>
  <si>
    <t>Meezan bank</t>
  </si>
  <si>
    <t>Nausheen Abdul Ghafoor</t>
  </si>
  <si>
    <t>AA1840824</t>
  </si>
  <si>
    <t>42101-1354082-4</t>
  </si>
  <si>
    <t xml:space="preserve">O NEGATIVE </t>
  </si>
  <si>
    <t xml:space="preserve">R1023 sector 15B Bufferzone karachi </t>
  </si>
  <si>
    <t>032233379392</t>
  </si>
  <si>
    <t>Muhammad Fahad khan</t>
  </si>
  <si>
    <t>Brother inlaw</t>
  </si>
  <si>
    <t xml:space="preserve">Meezan bank </t>
  </si>
  <si>
    <t>Shumaila</t>
  </si>
  <si>
    <t>JC4795942</t>
  </si>
  <si>
    <t>A+B pOSITIVE</t>
  </si>
  <si>
    <t>03362067292</t>
  </si>
  <si>
    <t xml:space="preserve">father </t>
  </si>
  <si>
    <t xml:space="preserve">m.wAQAS </t>
  </si>
  <si>
    <t>BROTHER</t>
  </si>
  <si>
    <t>03123185496</t>
  </si>
  <si>
    <t>NO</t>
  </si>
  <si>
    <t>A,Kabeer</t>
  </si>
  <si>
    <t>A,Shakoor (late)</t>
  </si>
  <si>
    <t>DV5162731</t>
  </si>
  <si>
    <t>b+POSITIVE</t>
  </si>
  <si>
    <t>03162426636</t>
  </si>
  <si>
    <t>wAQAS</t>
  </si>
  <si>
    <t>Uncle (mamo)</t>
  </si>
  <si>
    <t xml:space="preserve">42301-0931061-7 </t>
  </si>
  <si>
    <t>USMAN GHANI</t>
  </si>
  <si>
    <t>Ghani</t>
  </si>
  <si>
    <t xml:space="preserve">USMAN GHANI </t>
  </si>
  <si>
    <t>AHMED HUSSAIN</t>
  </si>
  <si>
    <t>MU4120614</t>
  </si>
  <si>
    <t>FLATE NO 802 8TH FLOOR AL RAHMAN ROYAL TOWER NEAR UMZA LAWN F.B AREA KARACHI</t>
  </si>
  <si>
    <t>03222296898</t>
  </si>
  <si>
    <t>Muhammad Ahmed</t>
  </si>
  <si>
    <t>42301-6413866-7</t>
  </si>
  <si>
    <t>03253378397</t>
  </si>
  <si>
    <t>0606720591002466</t>
  </si>
  <si>
    <t>Usman ghani</t>
  </si>
  <si>
    <t>Laiba</t>
  </si>
  <si>
    <t>A Shakoor (Late)</t>
  </si>
  <si>
    <t>EE5169251</t>
  </si>
  <si>
    <t>B NEGATIVE</t>
  </si>
  <si>
    <t>03151141488</t>
  </si>
  <si>
    <t>Grand Father</t>
  </si>
  <si>
    <t>waqas</t>
  </si>
  <si>
    <t>A,Shakoor</t>
  </si>
  <si>
    <t>DY5165201</t>
  </si>
  <si>
    <t>A+b pOSITIVE</t>
  </si>
  <si>
    <t>03702898893</t>
  </si>
  <si>
    <t>m.HANIF</t>
  </si>
  <si>
    <t xml:space="preserve">gRAND fATHER </t>
  </si>
  <si>
    <t>shaikh</t>
  </si>
  <si>
    <t>Dawood shaikh</t>
  </si>
  <si>
    <t>RX5197301</t>
  </si>
  <si>
    <t>baldia town 4:30 number madina colony house no 1725/38</t>
  </si>
  <si>
    <t>03433106713</t>
  </si>
  <si>
    <t>JIBRAN shaikh</t>
  </si>
  <si>
    <t>USMAN</t>
  </si>
  <si>
    <t>AQILA</t>
  </si>
  <si>
    <t>PH1152354</t>
  </si>
  <si>
    <t>42301-0693235-2</t>
  </si>
  <si>
    <t>A-</t>
  </si>
  <si>
    <t>AL RAHMAN ROYAL TOWER FLATE NO 802 8TH FLOOR NEAR UZMA LAWN F B AERA NLOCK 06 C7 AISHA MANZIL KARACHI</t>
  </si>
  <si>
    <t>03253378425</t>
  </si>
  <si>
    <t>Muhammad ahmed</t>
  </si>
  <si>
    <t>Sidra</t>
  </si>
  <si>
    <t>M.Waqar</t>
  </si>
  <si>
    <t>bm6329111</t>
  </si>
  <si>
    <t>b =+</t>
  </si>
  <si>
    <t>03122906430</t>
  </si>
  <si>
    <t>Waqar</t>
  </si>
  <si>
    <t>M.waqas</t>
  </si>
  <si>
    <t xml:space="preserve"> Brother inlow</t>
  </si>
  <si>
    <t xml:space="preserve">Muhammad nasrullah </t>
  </si>
  <si>
    <t xml:space="preserve">Nasrullah </t>
  </si>
  <si>
    <t xml:space="preserve">Muhammad Akram </t>
  </si>
  <si>
    <t xml:space="preserve">Kharadar karachi </t>
  </si>
  <si>
    <t>03122205624</t>
  </si>
  <si>
    <t>Arif</t>
  </si>
  <si>
    <t>03212205624</t>
  </si>
  <si>
    <t>Qazi communication 2</t>
  </si>
  <si>
    <t>Qadir</t>
  </si>
  <si>
    <t>Abdul</t>
  </si>
  <si>
    <t>Muhammad hussain</t>
  </si>
  <si>
    <t>03332273782</t>
  </si>
  <si>
    <t xml:space="preserve">Qazi communication 2 </t>
  </si>
  <si>
    <t>Hina</t>
  </si>
  <si>
    <t>Imran shaikh</t>
  </si>
  <si>
    <t>TV1222231</t>
  </si>
  <si>
    <t>husband</t>
  </si>
  <si>
    <t>03118057752</t>
  </si>
  <si>
    <t>Muhammad irfan</t>
  </si>
  <si>
    <t xml:space="preserve">Anus </t>
  </si>
  <si>
    <t xml:space="preserve">Muhammad irfan </t>
  </si>
  <si>
    <t>03131173260</t>
  </si>
  <si>
    <t>42301-6151554-7</t>
  </si>
  <si>
    <t>Rahil arif</t>
  </si>
  <si>
    <t>Muhammad arif maghora</t>
  </si>
  <si>
    <t>Ag0105543</t>
  </si>
  <si>
    <t>Grumandir karachi</t>
  </si>
  <si>
    <t>03332489760</t>
  </si>
  <si>
    <t>Sidra rahil</t>
  </si>
  <si>
    <t>42201-5539906-6</t>
  </si>
  <si>
    <t>03323282466</t>
  </si>
  <si>
    <t>0105 0114320339</t>
  </si>
  <si>
    <t>Muhammad Arif maghora</t>
  </si>
  <si>
    <t>Muhmmad</t>
  </si>
  <si>
    <t>Habib</t>
  </si>
  <si>
    <t>YF6915111</t>
  </si>
  <si>
    <t xml:space="preserve">balida town 4 :30 number madina colony house no 1725/192 </t>
  </si>
  <si>
    <t>muhammad Arif</t>
  </si>
  <si>
    <t>03198137717</t>
  </si>
  <si>
    <t>Abdul Wahid Qadri</t>
  </si>
  <si>
    <t>Abdul Wahid</t>
  </si>
  <si>
    <t>Adam Umer</t>
  </si>
  <si>
    <t>CM4427792</t>
  </si>
  <si>
    <t>B positve</t>
  </si>
  <si>
    <t>Jamshed road no 1 Ganj shaker colony tilak street plot no 208, Karachi</t>
  </si>
  <si>
    <t>03322294547</t>
  </si>
  <si>
    <t>Muhammed Shiraz</t>
  </si>
  <si>
    <t>03002294547</t>
  </si>
  <si>
    <t>IBAN#PK13BKIP0101139401010001</t>
  </si>
  <si>
    <t>Bano</t>
  </si>
  <si>
    <t>Shazia</t>
  </si>
  <si>
    <t>+923492570587</t>
  </si>
  <si>
    <t>+923492570578</t>
  </si>
  <si>
    <t>Ubaid raza</t>
  </si>
  <si>
    <t>Sun</t>
  </si>
  <si>
    <t>03252284018</t>
  </si>
  <si>
    <t>PK73BAHL1076008101060801</t>
  </si>
  <si>
    <t>FQ1201372</t>
  </si>
  <si>
    <t>Unaid raza</t>
  </si>
  <si>
    <t>+923252284018</t>
  </si>
  <si>
    <t xml:space="preserve">42201-9357485-5 </t>
  </si>
  <si>
    <t xml:space="preserve">Muhammad Ahmed </t>
  </si>
  <si>
    <t xml:space="preserve">Ahmed </t>
  </si>
  <si>
    <t>Abdul Rauf</t>
  </si>
  <si>
    <t>Jx1164853</t>
  </si>
  <si>
    <t xml:space="preserve">O Negative </t>
  </si>
  <si>
    <t>0311826q227</t>
  </si>
  <si>
    <t>03118261227</t>
  </si>
  <si>
    <t>42101-1738773-1</t>
  </si>
  <si>
    <t>03422443487</t>
  </si>
  <si>
    <t>PK86MEZN0001930102266598</t>
  </si>
  <si>
    <t xml:space="preserve">Sakina </t>
  </si>
  <si>
    <t>AB5300455</t>
  </si>
  <si>
    <t>42301-4851045-4</t>
  </si>
  <si>
    <t>03232790147</t>
  </si>
  <si>
    <t>Sikander</t>
  </si>
  <si>
    <t>42301-0868865-9</t>
  </si>
  <si>
    <t>03332317271</t>
  </si>
  <si>
    <t>PK69MEZN0001070108098781</t>
  </si>
  <si>
    <t xml:space="preserve">Sakina Ahmed </t>
  </si>
  <si>
    <t>Muhammad Aamir Popat</t>
  </si>
  <si>
    <t>Popat</t>
  </si>
  <si>
    <t>Muhammad Aamir</t>
  </si>
  <si>
    <t>Muhammad Iqbal Popat</t>
  </si>
  <si>
    <t>AA3070543</t>
  </si>
  <si>
    <t>Plot number 4/5, 2nd floor, block 3d, nazimabad no 3, opp. 3d tikon park near jamia masjid Noor ul Islam. Karachi.</t>
  </si>
  <si>
    <t>03101168566</t>
  </si>
  <si>
    <t>Muhammad Ayub Popat</t>
  </si>
  <si>
    <t>03312910933</t>
  </si>
  <si>
    <t>PK80MEZN0001470101206713</t>
  </si>
  <si>
    <t xml:space="preserve">Muhammad Aamir Popat </t>
  </si>
  <si>
    <t>Haji yahya</t>
  </si>
  <si>
    <t>AC1887693</t>
  </si>
  <si>
    <t>Flat No 401, 4th Floor , Nazaz Mansion , Near Agha diagnostic center ,kharadar , karachi</t>
  </si>
  <si>
    <t>+923222120350</t>
  </si>
  <si>
    <t>Anas</t>
  </si>
  <si>
    <t>+923102742038</t>
  </si>
  <si>
    <t xml:space="preserve">Ayesha Aamir </t>
  </si>
  <si>
    <t>KB1227002</t>
  </si>
  <si>
    <t>Plot number 4/5, 2nd floor, block 3D, nazimabad no 3, opp 3d tikon park, near jamia masjid Noor ul Islam, Karachi.</t>
  </si>
  <si>
    <t>03323440808</t>
  </si>
  <si>
    <t xml:space="preserve">Muhammad Ayub Popat </t>
  </si>
  <si>
    <t>Abdul majeed</t>
  </si>
  <si>
    <t>Majeed</t>
  </si>
  <si>
    <t>Abdul samad</t>
  </si>
  <si>
    <t>BQ0579984</t>
  </si>
  <si>
    <t>Baldia karachí saeedabad h no 101/16</t>
  </si>
  <si>
    <t>03142064490</t>
  </si>
  <si>
    <t>Abdul Rasheed</t>
  </si>
  <si>
    <t>03152056853</t>
  </si>
  <si>
    <t>Sheikh</t>
  </si>
  <si>
    <t>Nazia</t>
  </si>
  <si>
    <t>FK5197512</t>
  </si>
  <si>
    <t>Baldia saeedabad karachi</t>
  </si>
  <si>
    <t>03172986773</t>
  </si>
  <si>
    <t>Abdul rasheed</t>
  </si>
  <si>
    <t>Jatt</t>
  </si>
  <si>
    <t>Raheem</t>
  </si>
  <si>
    <t>Abdul Raheem</t>
  </si>
  <si>
    <t>Shadman town</t>
  </si>
  <si>
    <t>03152321269</t>
  </si>
  <si>
    <t xml:space="preserve">Abdul Rasheed </t>
  </si>
  <si>
    <t xml:space="preserve">Abdul majeed </t>
  </si>
  <si>
    <t>Saabrah</t>
  </si>
  <si>
    <t xml:space="preserve">Abdul Raheem </t>
  </si>
  <si>
    <t>Dewer</t>
  </si>
  <si>
    <t>42301-1145615-3</t>
  </si>
  <si>
    <t>Muhammad Shoaib Mukaty</t>
  </si>
  <si>
    <t xml:space="preserve"> Mukaty</t>
  </si>
  <si>
    <t>Abdul Habib</t>
  </si>
  <si>
    <t>CX9996152</t>
  </si>
  <si>
    <t>O +ve</t>
  </si>
  <si>
    <t>Hussaini Pride 201,near Nishtar Park,soldier bazar,karachi.</t>
  </si>
  <si>
    <t>03343751223</t>
  </si>
  <si>
    <t>Saleem Mukati</t>
  </si>
  <si>
    <t>42301-0707324-9</t>
  </si>
  <si>
    <t>03219268680</t>
  </si>
  <si>
    <t>PK80MPBL0128017140181249</t>
  </si>
  <si>
    <t xml:space="preserve">MUHAMMAD SHOAIB MUKATY </t>
  </si>
  <si>
    <t>Mukaty</t>
  </si>
  <si>
    <t>Maria Shoaib</t>
  </si>
  <si>
    <t>AN5753873</t>
  </si>
  <si>
    <t>42301-7467387-6</t>
  </si>
  <si>
    <t>Hussaini pride 201, near nishtar park,soldier bazar,karachi.</t>
  </si>
  <si>
    <t>03359268680</t>
  </si>
  <si>
    <t>Muhammad shoaib Mukaty</t>
  </si>
  <si>
    <t>Touseef</t>
  </si>
  <si>
    <t>Riaz Ahmed</t>
  </si>
  <si>
    <t>GP1150644</t>
  </si>
  <si>
    <t>B *ve</t>
  </si>
  <si>
    <t xml:space="preserve">B. 102 mumtaz Nagar, b area, malir Karachi. </t>
  </si>
  <si>
    <t>03222588077</t>
  </si>
  <si>
    <t>Zohaib Ahmed</t>
  </si>
  <si>
    <t>03232047697</t>
  </si>
  <si>
    <t>PK37ABPA0010010498730019</t>
  </si>
  <si>
    <t>Touseef ahmed</t>
  </si>
  <si>
    <t>Mehak</t>
  </si>
  <si>
    <t>FB5971292</t>
  </si>
  <si>
    <t>A +ve</t>
  </si>
  <si>
    <t xml:space="preserve">B. 102 mumtaz Nagar, b area , malir Karachi. </t>
  </si>
  <si>
    <t>03222203443</t>
  </si>
  <si>
    <t>Wasfa fazal</t>
  </si>
  <si>
    <t>Sister in law</t>
  </si>
  <si>
    <t>Begum</t>
  </si>
  <si>
    <t>Shaista</t>
  </si>
  <si>
    <t>Riaz ahmed</t>
  </si>
  <si>
    <t>DS3959683</t>
  </si>
  <si>
    <t xml:space="preserve">B.102 mumtaz Nagar b area, malir Karachi. </t>
  </si>
  <si>
    <t>03213321261</t>
  </si>
  <si>
    <t>Zohaib ahmed</t>
  </si>
  <si>
    <t>Abdul Mustafa</t>
  </si>
  <si>
    <t>Muhammad Younus Sultani</t>
  </si>
  <si>
    <t>EN0873682</t>
  </si>
  <si>
    <t>C-314 Block 6 Near Ayesha Manzil FB Area Karachi</t>
  </si>
  <si>
    <t>03162838912</t>
  </si>
  <si>
    <t>03203131935</t>
  </si>
  <si>
    <t>Rameez</t>
  </si>
  <si>
    <t>Mulani</t>
  </si>
  <si>
    <t>Ramzan</t>
  </si>
  <si>
    <t>Opoitive</t>
  </si>
  <si>
    <t>Flat#506 sana corner near fawara chowk garden west karachi</t>
  </si>
  <si>
    <t>03341212607</t>
  </si>
  <si>
    <t>Muhammad bilal</t>
  </si>
  <si>
    <t>Brother In law</t>
  </si>
  <si>
    <t>03166260612</t>
  </si>
  <si>
    <t>Unasha</t>
  </si>
  <si>
    <t>Opsitive</t>
  </si>
  <si>
    <t xml:space="preserve">Flat#506 sana corner near fawara chowk garden west karachi </t>
  </si>
  <si>
    <t>03343398668</t>
  </si>
  <si>
    <t>03166260162</t>
  </si>
  <si>
    <t>01550111394432</t>
  </si>
  <si>
    <t>03162839011</t>
  </si>
  <si>
    <t>Ramzan ali</t>
  </si>
  <si>
    <t>Opositive</t>
  </si>
  <si>
    <t>Shahida bano</t>
  </si>
  <si>
    <t xml:space="preserve">Opositive </t>
  </si>
  <si>
    <t xml:space="preserve">Flat#506 Sana corner near fawara chowk garden west karachi </t>
  </si>
  <si>
    <t>+92 334 3398668</t>
  </si>
  <si>
    <t>TC6805861</t>
  </si>
  <si>
    <t>42301-6509586-9</t>
  </si>
  <si>
    <t>S-201 Noor us Sahar Appartment Gurumandar near Kanzul Eman Masjid</t>
  </si>
  <si>
    <t>03358551133</t>
  </si>
  <si>
    <t>Shaista Hanif</t>
  </si>
  <si>
    <t>42301-3459749-6</t>
  </si>
  <si>
    <t>03355555718</t>
  </si>
  <si>
    <t>PK40UNIL0109000331501061</t>
  </si>
  <si>
    <t>42301-0890023-7</t>
  </si>
  <si>
    <t xml:space="preserve">Muhammad Iqbal </t>
  </si>
  <si>
    <t>Shiwani</t>
  </si>
  <si>
    <t>Muhammad Iqbal</t>
  </si>
  <si>
    <t xml:space="preserve">Noor Muhammad </t>
  </si>
  <si>
    <t>Token # 10302186371</t>
  </si>
  <si>
    <t xml:space="preserve">Falt # GK 3/26, zulekha manzil, first floor, imam barah street, kharadar, karachi. </t>
  </si>
  <si>
    <t>03212290663</t>
  </si>
  <si>
    <t>Nil</t>
  </si>
  <si>
    <t>Muhammad Ibad</t>
  </si>
  <si>
    <t>42301-5948558-5</t>
  </si>
  <si>
    <t>004148913519</t>
  </si>
  <si>
    <t xml:space="preserve">Current Account </t>
  </si>
  <si>
    <t>42000-0946641-3</t>
  </si>
  <si>
    <t>Hasan Adam</t>
  </si>
  <si>
    <t>Adam</t>
  </si>
  <si>
    <t>Hasan</t>
  </si>
  <si>
    <t>Adam Budhani</t>
  </si>
  <si>
    <t>Flat no 2804, Tower 2, 28th floor, Lucky One Apartment, Block 21, F.B Area, Karachi</t>
  </si>
  <si>
    <t>03343700748</t>
  </si>
  <si>
    <t>Maida Hanif</t>
  </si>
  <si>
    <t>42201-3501790-2</t>
  </si>
  <si>
    <t>03433157448</t>
  </si>
  <si>
    <t>PK98MEZN0001040102350089</t>
  </si>
  <si>
    <t>Maida</t>
  </si>
  <si>
    <t>Flat no 2804, 28th floor, Tower 2, Lucky One Apartment, Block 21, F.B Area, Karachi</t>
  </si>
  <si>
    <t xml:space="preserve">42000-0946641-3 </t>
  </si>
  <si>
    <t>PK87MEZN0001040109817444</t>
  </si>
  <si>
    <t>Sanghani</t>
  </si>
  <si>
    <t>Rizwana Bano</t>
  </si>
  <si>
    <t>Token # 10332672578</t>
  </si>
  <si>
    <t>42301-0934646-4</t>
  </si>
  <si>
    <t>090109423715</t>
  </si>
  <si>
    <t>2 porson</t>
  </si>
  <si>
    <t>Noorani</t>
  </si>
  <si>
    <t>Kamran</t>
  </si>
  <si>
    <t>Abdul qadir</t>
  </si>
  <si>
    <t>WE9996882</t>
  </si>
  <si>
    <t>Jilani palace bara imam bara rampart road methader karachi</t>
  </si>
  <si>
    <t>03152334564</t>
  </si>
  <si>
    <t>03343057776</t>
  </si>
  <si>
    <t>Anusha</t>
  </si>
  <si>
    <t>SR1224811</t>
  </si>
  <si>
    <t>03168538815</t>
  </si>
  <si>
    <t xml:space="preserve">Brother inlow </t>
  </si>
  <si>
    <t>Nadeem ahmed</t>
  </si>
  <si>
    <t>Nadeem</t>
  </si>
  <si>
    <t>Naeem ahmed</t>
  </si>
  <si>
    <t>Cr1176912</t>
  </si>
  <si>
    <t>Nursary karachi</t>
  </si>
  <si>
    <t>+92 300 9238179</t>
  </si>
  <si>
    <t>OMAIR UDDIN</t>
  </si>
  <si>
    <t>+92 300 2293268</t>
  </si>
  <si>
    <t>PK58BAHL1259098100895601</t>
  </si>
  <si>
    <t>Zareen</t>
  </si>
  <si>
    <t>DL9458802</t>
  </si>
  <si>
    <t>Omair uddin</t>
  </si>
  <si>
    <t>Brother in low</t>
  </si>
  <si>
    <t xml:space="preserve">Noor </t>
  </si>
  <si>
    <t>42101-8892439-2</t>
  </si>
  <si>
    <t>S-201 Noor us Sahar Appartment Gurumandar near Kanzul Eman Masjid Karachi</t>
  </si>
  <si>
    <t xml:space="preserve">Shaista Hanif </t>
  </si>
  <si>
    <t>B +ve</t>
  </si>
  <si>
    <t xml:space="preserve">B.102, mumtaz nagar, b area , malir Karachi. </t>
  </si>
  <si>
    <t>PK91HABB0003007900924203</t>
  </si>
  <si>
    <t>Touseef Ahmed</t>
  </si>
  <si>
    <t>A+ve</t>
  </si>
  <si>
    <t xml:space="preserve">B.102,mumtaz Nagar,b area, malir Karachi. </t>
  </si>
  <si>
    <t>Muhammad Ashraf Rajput</t>
  </si>
  <si>
    <t>rajput</t>
  </si>
  <si>
    <t>Muhammad Ashraf rajput</t>
  </si>
  <si>
    <t>islamuddin</t>
  </si>
  <si>
    <t>B+ve</t>
  </si>
  <si>
    <t>tilak chari near sultani hari masjid b/21 bantwa street akal bonga lane opposite shani memorial english high school 2nd floor Dr MA khan 
Hyderabad sindh</t>
  </si>
  <si>
    <t>03343387538</t>
  </si>
  <si>
    <t>03133126074</t>
  </si>
  <si>
    <t>MUHAMMAD ZOHAIB RAZA</t>
  </si>
  <si>
    <t>03112011468</t>
  </si>
  <si>
    <t>PK72 MEZN 0000 3001 1176 9585</t>
  </si>
  <si>
    <t xml:space="preserve">B.102, mumtaz Nagar, b area, malir Karachi. </t>
  </si>
  <si>
    <t xml:space="preserve">Touseef Ahmed. </t>
  </si>
  <si>
    <t>ABDUL MUSTAFA</t>
  </si>
  <si>
    <t>MUSTAFA</t>
  </si>
  <si>
    <t>MUHAMMAD YOUNUS SULTANI</t>
  </si>
  <si>
    <t>C-314 BLOCK 6 NEAR AYESHA MANZIL FB AREA KARACHI</t>
  </si>
  <si>
    <t>MUHAMMAD YOUNUS SULANI</t>
  </si>
  <si>
    <t>03116520280</t>
  </si>
  <si>
    <t>SOBIA</t>
  </si>
  <si>
    <t>AE5096212</t>
  </si>
  <si>
    <t>02</t>
  </si>
  <si>
    <t>MUHAMMAD KASHAN</t>
  </si>
  <si>
    <t>KASHAN</t>
  </si>
  <si>
    <t>MUHAMMAD RAFIQ</t>
  </si>
  <si>
    <t>BP4848312</t>
  </si>
  <si>
    <t>Flat No 402, Zahra Classic Building, Britto Road
Opposite suleman Terrace Near Fathmiyah Hospital Garden East, Karachi</t>
  </si>
  <si>
    <t>03032331538</t>
  </si>
  <si>
    <t>03232451499</t>
  </si>
  <si>
    <t>03002522750</t>
  </si>
  <si>
    <t>PK73UNIL0109000347546304</t>
  </si>
  <si>
    <t>RAFIQ</t>
  </si>
  <si>
    <t>AMBREEN</t>
  </si>
  <si>
    <t>EC9566822</t>
  </si>
  <si>
    <t>03072605005</t>
  </si>
  <si>
    <t>M.Tauseef</t>
  </si>
  <si>
    <t>Tauseef</t>
  </si>
  <si>
    <t>Abdul Razzak</t>
  </si>
  <si>
    <t>Flat # 501, Madina Sweet Home Apartment, Near Mother Care Bakery, Usman-A-Bad, Karachi.</t>
  </si>
  <si>
    <t>03362466844</t>
  </si>
  <si>
    <t>M.Saleem</t>
  </si>
  <si>
    <t>03002615599</t>
  </si>
  <si>
    <t>PK03 MEZN 0099 3701 1510 3207</t>
  </si>
  <si>
    <t xml:space="preserve">Muhammad Tauseef </t>
  </si>
  <si>
    <t>Maryam</t>
  </si>
  <si>
    <t>Flat # 501, Madina Sweet Home Apartment Near Mother Care Bakery Usman-A-Bad Karachi.</t>
  </si>
  <si>
    <t>03312961660</t>
  </si>
  <si>
    <t>Nafisa</t>
  </si>
  <si>
    <t>03312961639</t>
  </si>
  <si>
    <t>Muhammad Aslam</t>
  </si>
  <si>
    <t>Samla</t>
  </si>
  <si>
    <t>42301-7418764-3</t>
  </si>
  <si>
    <t>Flat 101 ML Tower Parsi Colony</t>
  </si>
  <si>
    <t>03322952462</t>
  </si>
  <si>
    <t>42301-7505307-3</t>
  </si>
  <si>
    <t>03343540283</t>
  </si>
  <si>
    <t>Muhammad Saeed</t>
  </si>
  <si>
    <t>Gilani</t>
  </si>
  <si>
    <t>Abdul Razzaq Naqashbandi</t>
  </si>
  <si>
    <t>GB5974652</t>
  </si>
  <si>
    <t>Jama Mashid Norani (Muslim khatri) Sec 11G New Karachi near 7 No Stop</t>
  </si>
  <si>
    <t>03343393246</t>
  </si>
  <si>
    <t>Muhammad Muzammil Pirwani</t>
  </si>
  <si>
    <t>423015962278-7</t>
  </si>
  <si>
    <t>Couzen</t>
  </si>
  <si>
    <t>03102801618</t>
  </si>
  <si>
    <t>PK24UNIL0109000257036874</t>
  </si>
  <si>
    <t>Munir</t>
  </si>
  <si>
    <t>—</t>
  </si>
  <si>
    <t>03212295033</t>
  </si>
  <si>
    <t>Mansoor abdul majeed</t>
  </si>
  <si>
    <t>03343929003</t>
  </si>
  <si>
    <t>01250104707686</t>
  </si>
  <si>
    <t xml:space="preserve">Muhammad Tanzeel Ahmed </t>
  </si>
  <si>
    <t>Tanzeel</t>
  </si>
  <si>
    <t>Shakeel Ahmed</t>
  </si>
  <si>
    <t>AP1153442</t>
  </si>
  <si>
    <t>Fb Area Block 1 Karachi</t>
  </si>
  <si>
    <t>03430210031</t>
  </si>
  <si>
    <t>03333191520</t>
  </si>
  <si>
    <t>PK21ALFH0349001008414570</t>
  </si>
  <si>
    <t>MUHAMMAD TANZEEL AHMED</t>
  </si>
  <si>
    <t>Parsa</t>
  </si>
  <si>
    <t>Gulzar hjri karachi</t>
  </si>
  <si>
    <t>Mansoor</t>
  </si>
  <si>
    <t>Pirwani</t>
  </si>
  <si>
    <t>Asra Batool</t>
  </si>
  <si>
    <t>BP3406382</t>
  </si>
  <si>
    <t>AB positive</t>
  </si>
  <si>
    <t>Jama Masjid Noorani Sec 11G new Karachi near 7 No Stop</t>
  </si>
  <si>
    <t>03219212787</t>
  </si>
  <si>
    <t>Muhammad Muzammil pirwini</t>
  </si>
  <si>
    <t>42101-4192344-3</t>
  </si>
  <si>
    <t>Abbasi</t>
  </si>
  <si>
    <t>Zanish Imran</t>
  </si>
  <si>
    <t>Muhammad Tanzeel Ahmed</t>
  </si>
  <si>
    <t>YX1013411</t>
  </si>
  <si>
    <t>41304-7548341-8</t>
  </si>
  <si>
    <t xml:space="preserve">R96 Fb area Block 1 sharifabad karachi </t>
  </si>
  <si>
    <t>+923249287210</t>
  </si>
  <si>
    <t>03496538296</t>
  </si>
  <si>
    <t>Muhammad Imran</t>
  </si>
  <si>
    <t>41304-2311021-3</t>
  </si>
  <si>
    <t>03332619421</t>
  </si>
  <si>
    <t>42201-4904660-1</t>
  </si>
  <si>
    <t xml:space="preserve">Muhammad sajjan </t>
  </si>
  <si>
    <t>Gabol</t>
  </si>
  <si>
    <t>Muhammad ismail</t>
  </si>
  <si>
    <t>AD5506601</t>
  </si>
  <si>
    <t>R.16 usmania town main safoora goth</t>
  </si>
  <si>
    <t>03322295841</t>
  </si>
  <si>
    <t xml:space="preserve">Maryam </t>
  </si>
  <si>
    <t>42201-6550021-8</t>
  </si>
  <si>
    <t>03118877004</t>
  </si>
  <si>
    <t>6011420311714342821</t>
  </si>
  <si>
    <t>Habib metro bank</t>
  </si>
  <si>
    <t xml:space="preserve">Gabol </t>
  </si>
  <si>
    <t xml:space="preserve">Amber Shaheen </t>
  </si>
  <si>
    <t>TW5168791</t>
  </si>
  <si>
    <t>42301-0898879-8</t>
  </si>
  <si>
    <t xml:space="preserve">R.16 usmania town Main Safoora goth Karachi </t>
  </si>
  <si>
    <t>03222377139</t>
  </si>
  <si>
    <t>Muhammad Anwar</t>
  </si>
  <si>
    <t>KJ5758842</t>
  </si>
  <si>
    <t>Shazil vista flat no 201 amil colony Jamshed road karachi</t>
  </si>
  <si>
    <t>03333587767</t>
  </si>
  <si>
    <t xml:space="preserve">Rizwana bano and Sumbul </t>
  </si>
  <si>
    <t>Mother and wife</t>
  </si>
  <si>
    <t>Muhammad Dilawar</t>
  </si>
  <si>
    <t>03333039431</t>
  </si>
  <si>
    <t>42301-6082577-7</t>
  </si>
  <si>
    <t>Muhammad akber</t>
  </si>
  <si>
    <t>Akber</t>
  </si>
  <si>
    <t>Qasim mian</t>
  </si>
  <si>
    <t>Manually</t>
  </si>
  <si>
    <t>Flat 202, Bilal arcade near memon hospital urdu bazar</t>
  </si>
  <si>
    <t>0316-2753177</t>
  </si>
  <si>
    <t>Own</t>
  </si>
  <si>
    <t xml:space="preserve">Muhammad akber </t>
  </si>
  <si>
    <t>Saira</t>
  </si>
  <si>
    <t xml:space="preserve">Manually </t>
  </si>
  <si>
    <t>42301-9935999-4</t>
  </si>
  <si>
    <t>Flat 202, Bilal arcade near memon hospital ,urdu bazar</t>
  </si>
  <si>
    <t>42301-16416587-1</t>
  </si>
  <si>
    <t>Muhammad Yaseen</t>
  </si>
  <si>
    <t>Yaseen</t>
  </si>
  <si>
    <t>MJ6805872</t>
  </si>
  <si>
    <t>42301-1646587-1</t>
  </si>
  <si>
    <t>L-83, Block 13-G, Gulshan Iqbal, Karachi</t>
  </si>
  <si>
    <t>03085451028</t>
  </si>
  <si>
    <t>42301-0870997-9</t>
  </si>
  <si>
    <t>03002652562</t>
  </si>
  <si>
    <t>01630102640933</t>
  </si>
  <si>
    <t>Madiha Zarina</t>
  </si>
  <si>
    <t>AE1773062</t>
  </si>
  <si>
    <t>42301-1585306-8</t>
  </si>
  <si>
    <t>03323427863</t>
  </si>
  <si>
    <t>Humaira</t>
  </si>
  <si>
    <t>Muhammad Ali Jokhio</t>
  </si>
  <si>
    <t>AA6297952</t>
  </si>
  <si>
    <t>42301-7091795-0</t>
  </si>
  <si>
    <t>A positive</t>
  </si>
  <si>
    <t>03212928098</t>
  </si>
  <si>
    <t>42101-1856257-5</t>
  </si>
  <si>
    <t>FG1222573</t>
  </si>
  <si>
    <t xml:space="preserve"> 1526 Fb area block 3 karimabad karachi</t>
  </si>
  <si>
    <t>03330236575</t>
  </si>
  <si>
    <t>Maheen Imran</t>
  </si>
  <si>
    <t>42101-8086311-0</t>
  </si>
  <si>
    <t>03154472520</t>
  </si>
  <si>
    <t>Pk43HABB0000005000013632</t>
  </si>
  <si>
    <t>Muhammad Imran Asma Naz</t>
  </si>
  <si>
    <t>NP9895152</t>
  </si>
  <si>
    <t>0+</t>
  </si>
  <si>
    <t xml:space="preserve">Plot Jm 1/113 flat # 101, 1st floor, Hira Heights, Dayaram Gidumal road, parsi colony karachi </t>
  </si>
  <si>
    <t>03320348444</t>
  </si>
  <si>
    <t>PK15MEZN0001390108559032</t>
  </si>
  <si>
    <t>Naz</t>
  </si>
  <si>
    <t>Asma</t>
  </si>
  <si>
    <t>BJ9893763</t>
  </si>
  <si>
    <t>42101-1719376-2</t>
  </si>
  <si>
    <t>1526 fb area block 3 karimabad karachi</t>
  </si>
  <si>
    <t>03340323242</t>
  </si>
  <si>
    <t>E</t>
  </si>
  <si>
    <t>Muhammad Aqeel Ahmed</t>
  </si>
  <si>
    <t>SZ1151083</t>
  </si>
  <si>
    <t>House 371, Area O, Sect 34, Korangi 3, Karachi</t>
  </si>
  <si>
    <t>03362518592</t>
  </si>
  <si>
    <t>03002536186</t>
  </si>
  <si>
    <t>PK62BAHL5001008102130502</t>
  </si>
  <si>
    <t>MUHAMMAD AQEEL AHMED</t>
  </si>
  <si>
    <t>42301-2899807-7</t>
  </si>
  <si>
    <t>Muhammad Umar</t>
  </si>
  <si>
    <t>Umar</t>
  </si>
  <si>
    <t>BR2228073</t>
  </si>
  <si>
    <t>Flat 101 Ghareeb Nawaz Residency Hyderabd Colony Jamshed Road Karachi.</t>
  </si>
  <si>
    <t>03248047247</t>
  </si>
  <si>
    <t>03218210564</t>
  </si>
  <si>
    <t>PK74 MEZN 0001 0801 0282 1648</t>
  </si>
  <si>
    <t>FATIMA</t>
  </si>
  <si>
    <t>UROOJ</t>
  </si>
  <si>
    <t>Flat 101 Ghareeb Nawaz Residency Hyderabad Colony Jamshed Road Karachi</t>
  </si>
  <si>
    <t>Andul Wahid</t>
  </si>
  <si>
    <t>Muhammad Irfan</t>
  </si>
  <si>
    <t>Irfan</t>
  </si>
  <si>
    <t>Saima</t>
  </si>
  <si>
    <t>LR1989171</t>
  </si>
  <si>
    <t>Flat No. 507, 5th Floor, Al Zahra Arcade, Garden East, Karachi, Sindh 75550, Pakistan</t>
  </si>
  <si>
    <t>03162049325</t>
  </si>
  <si>
    <t>03219282623</t>
  </si>
  <si>
    <t>Pk14mezn0099160102829173</t>
  </si>
  <si>
    <t xml:space="preserve">Irfan </t>
  </si>
  <si>
    <t>Cz1985734</t>
  </si>
  <si>
    <t>03228900786</t>
  </si>
  <si>
    <t>03219282622</t>
  </si>
  <si>
    <t xml:space="preserve">Five </t>
  </si>
  <si>
    <t>42101-8753965-7</t>
  </si>
  <si>
    <t>Muhammad Muzzaffar Patel</t>
  </si>
  <si>
    <t xml:space="preserve">Patel </t>
  </si>
  <si>
    <t xml:space="preserve">Muhammad Muzzaffar Patel </t>
  </si>
  <si>
    <t xml:space="preserve">Muhammad Mukhtar </t>
  </si>
  <si>
    <t>BL3409652</t>
  </si>
  <si>
    <t xml:space="preserve">577 block 3 fb area karimabad Karachi Pakistan </t>
  </si>
  <si>
    <t>03331224953</t>
  </si>
  <si>
    <t xml:space="preserve">Muhammad Mansoor Patel </t>
  </si>
  <si>
    <t>421012035816-1</t>
  </si>
  <si>
    <t>03216557811</t>
  </si>
  <si>
    <t xml:space="preserve">Muzaffar </t>
  </si>
  <si>
    <t>Farah</t>
  </si>
  <si>
    <t xml:space="preserve">Muhammad Muzaffar </t>
  </si>
  <si>
    <t>AJ0882692</t>
  </si>
  <si>
    <t>41409-9000269-0</t>
  </si>
  <si>
    <t>03099291112</t>
  </si>
  <si>
    <t>Muhammad Muzaffar Patel</t>
  </si>
  <si>
    <t xml:space="preserve">Muhammad Muzaffar Patel </t>
  </si>
  <si>
    <t>Patel</t>
  </si>
  <si>
    <t>Muhammad Mukhtar Patel</t>
  </si>
  <si>
    <t xml:space="preserve">Farah </t>
  </si>
  <si>
    <t>Haris hussain</t>
  </si>
  <si>
    <t xml:space="preserve">Haris </t>
  </si>
  <si>
    <t>NV6898093</t>
  </si>
  <si>
    <t>42101-0403809-3</t>
  </si>
  <si>
    <t xml:space="preserve">AB positive </t>
  </si>
  <si>
    <t xml:space="preserve">azizabad block 8 house no 1001/8 near mor park f b area </t>
  </si>
  <si>
    <t>03100103025</t>
  </si>
  <si>
    <t>Sadia haris</t>
  </si>
  <si>
    <t>sadia</t>
  </si>
  <si>
    <t>42301-7308510-4</t>
  </si>
  <si>
    <t>03192120003</t>
  </si>
  <si>
    <t>BE6785102</t>
  </si>
  <si>
    <t xml:space="preserve">husband </t>
  </si>
  <si>
    <t>Haris</t>
  </si>
  <si>
    <t>haris hussain</t>
  </si>
  <si>
    <t>NV689809</t>
  </si>
  <si>
    <t xml:space="preserve">ab positive </t>
  </si>
  <si>
    <t xml:space="preserve">azizabad f b area house no 1001/8 near mor park </t>
  </si>
  <si>
    <t>f b area azizabad near mor park house no 1001/8</t>
  </si>
  <si>
    <t xml:space="preserve">Haris hussain </t>
  </si>
  <si>
    <t>42101-04038093</t>
  </si>
  <si>
    <t>Abdin</t>
  </si>
  <si>
    <t>Zainul</t>
  </si>
  <si>
    <t>AZ1078454</t>
  </si>
  <si>
    <t>42101-6566345-1</t>
  </si>
  <si>
    <t xml:space="preserve">a positive </t>
  </si>
  <si>
    <t>azizabad house no 1001/8 f b area near mor park</t>
  </si>
  <si>
    <t>03178871551</t>
  </si>
  <si>
    <t xml:space="preserve">cousin </t>
  </si>
  <si>
    <t>komal</t>
  </si>
  <si>
    <t>Komal</t>
  </si>
  <si>
    <t>Zain ul abdeen</t>
  </si>
  <si>
    <t>BJ4205021</t>
  </si>
  <si>
    <t>42101-7838502-8</t>
  </si>
  <si>
    <t xml:space="preserve">azizabad house no 1001/8 fb area near mor park </t>
  </si>
  <si>
    <t>+92 317 8871551</t>
  </si>
  <si>
    <t>zain ul abdeen</t>
  </si>
  <si>
    <t>42101-040389-3</t>
  </si>
  <si>
    <t>42301-9495044-3</t>
  </si>
  <si>
    <t xml:space="preserve">Sheikh Abdul Waheed </t>
  </si>
  <si>
    <t xml:space="preserve">Abdul Waheed </t>
  </si>
  <si>
    <t xml:space="preserve">Sheikh Abdul Rahim </t>
  </si>
  <si>
    <t>B-positive</t>
  </si>
  <si>
    <t>House no 16/18/63-G-R-W chararam compound nishtar road Garda wast karachi</t>
  </si>
  <si>
    <t>03008991260</t>
  </si>
  <si>
    <t xml:space="preserve">Sheikh Mohammed talha </t>
  </si>
  <si>
    <t>42301-5406507-1</t>
  </si>
  <si>
    <t>03262939411</t>
  </si>
  <si>
    <t>PK11 MUCB 1048 5468 9100 3237</t>
  </si>
  <si>
    <t>Muhammad Amin</t>
  </si>
  <si>
    <t>Amin</t>
  </si>
  <si>
    <t>Abdul shakoor</t>
  </si>
  <si>
    <t>JQ1207501</t>
  </si>
  <si>
    <t>A negative</t>
  </si>
  <si>
    <t>Suleman aazad road street 1 agrah Taj lyari karachi</t>
  </si>
  <si>
    <t>03232691493</t>
  </si>
  <si>
    <t>Muhammad zaffar</t>
  </si>
  <si>
    <t>03212268806</t>
  </si>
  <si>
    <t>JE1200561</t>
  </si>
  <si>
    <t>B possetive</t>
  </si>
  <si>
    <t>03080228207</t>
  </si>
  <si>
    <t>Muhammad faizan</t>
  </si>
  <si>
    <t>03052540037</t>
  </si>
  <si>
    <t xml:space="preserve">Muhammad Altaf </t>
  </si>
  <si>
    <t>Altaf</t>
  </si>
  <si>
    <t>Muahammad</t>
  </si>
  <si>
    <t>Haji Bashir Ahmef</t>
  </si>
  <si>
    <t>AK1777883</t>
  </si>
  <si>
    <t>B Postive</t>
  </si>
  <si>
    <t xml:space="preserve">Imperial Height plot no 437 Muscat Street Flat no G 006 Garden East Karachi </t>
  </si>
  <si>
    <t>03332289725</t>
  </si>
  <si>
    <t>Nadia Altaf</t>
  </si>
  <si>
    <t xml:space="preserve">Muhammad Awais </t>
  </si>
  <si>
    <t xml:space="preserve">42000-0482376-5 </t>
  </si>
  <si>
    <t>Brothet</t>
  </si>
  <si>
    <t>03218223444</t>
  </si>
  <si>
    <t>01340103115962</t>
  </si>
  <si>
    <t>M.IQBAL M.ALTAF</t>
  </si>
  <si>
    <t>Nadia</t>
  </si>
  <si>
    <t>BF1775112</t>
  </si>
  <si>
    <t xml:space="preserve">Imperial Height plot no Muscat Street Flat no G006 Garden East Karachi </t>
  </si>
  <si>
    <t xml:space="preserve">Muhammad awais </t>
  </si>
  <si>
    <t xml:space="preserve">Muhammad Shiraz </t>
  </si>
  <si>
    <t xml:space="preserve">Shiraz </t>
  </si>
  <si>
    <t xml:space="preserve">ABDUL WAHID QADRI </t>
  </si>
  <si>
    <t>LJ5122412</t>
  </si>
  <si>
    <t xml:space="preserve">Jamshed road no 1 Mustafa garden wali Gali pilot no 208 tilak street </t>
  </si>
  <si>
    <t>IBAN#PK13BKIP 0101139401010001</t>
  </si>
  <si>
    <t>Bakhsh</t>
  </si>
  <si>
    <t>FS3344892</t>
  </si>
  <si>
    <t>Muhammad Ashfaq</t>
  </si>
  <si>
    <t>Mota</t>
  </si>
  <si>
    <t>JG1849413</t>
  </si>
  <si>
    <t>Parsa homes, flat no 301, civil lines, karachi</t>
  </si>
  <si>
    <t>03232330080</t>
  </si>
  <si>
    <t>PK16MEZN0001970102997975</t>
  </si>
  <si>
    <t>Zubair</t>
  </si>
  <si>
    <t>CW5099233</t>
  </si>
  <si>
    <t>03333857860</t>
  </si>
  <si>
    <t>Sajjad Ahmed</t>
  </si>
  <si>
    <t>Abdul Gafoor</t>
  </si>
  <si>
    <t>KM1151502</t>
  </si>
  <si>
    <t>A possetive</t>
  </si>
  <si>
    <t>Suleman Azad road street 1 agrah taj lyari</t>
  </si>
  <si>
    <t>03212110956</t>
  </si>
  <si>
    <t>Muhammad iqbal</t>
  </si>
  <si>
    <t>03222544677</t>
  </si>
  <si>
    <t>Sajjad</t>
  </si>
  <si>
    <t>Rabil</t>
  </si>
  <si>
    <t>BB5570652</t>
  </si>
  <si>
    <t>B posetive</t>
  </si>
  <si>
    <t>Suleman Azad road street 1 agrah taj lyari karachi</t>
  </si>
  <si>
    <t>Kiran Iqbal</t>
  </si>
  <si>
    <t>03232534474</t>
  </si>
  <si>
    <t>Asghar</t>
  </si>
  <si>
    <t>Saleh Muhammad</t>
  </si>
  <si>
    <t>AR1823123</t>
  </si>
  <si>
    <t>Plot # B-91, Area # Baba Island, keamari, Karachi</t>
  </si>
  <si>
    <t>03483011833</t>
  </si>
  <si>
    <t>03463119006</t>
  </si>
  <si>
    <t>Ali asghar</t>
  </si>
  <si>
    <t>Tahira</t>
  </si>
  <si>
    <t>GJ1821752</t>
  </si>
  <si>
    <t>Plot # B-91, Area # Baba Iland, Keamari, Karachi.</t>
  </si>
  <si>
    <t>Father-in-law</t>
  </si>
  <si>
    <t>Rukhsana</t>
  </si>
  <si>
    <t>Rasheed</t>
  </si>
  <si>
    <t>AK9349712</t>
  </si>
  <si>
    <t>Plot # B-79, Street # Badala, keamari Baba Iland, Dakhana Keamari, Karachi.</t>
  </si>
  <si>
    <t>Siraj</t>
  </si>
  <si>
    <t>Abdul Shakoor</t>
  </si>
  <si>
    <t>BA5982802</t>
  </si>
  <si>
    <t>House no A7 Block 13 gulshan e iqbal shamoonabad society</t>
  </si>
  <si>
    <t>03473565221</t>
  </si>
  <si>
    <t>03319765680</t>
  </si>
  <si>
    <t>42301-7138150-7</t>
  </si>
  <si>
    <t>Sajjad. Ahmed</t>
  </si>
  <si>
    <t>Abdul. Ghafoor</t>
  </si>
  <si>
    <t>Shah Abdul Latif Bithai Road new Kalri Karachi</t>
  </si>
  <si>
    <t>O3212110956</t>
  </si>
  <si>
    <t>42301-2582065-2</t>
  </si>
  <si>
    <t>03243499669</t>
  </si>
  <si>
    <t>42301-71318150-7</t>
  </si>
  <si>
    <t xml:space="preserve"> Sajjad</t>
  </si>
  <si>
    <t xml:space="preserve"> Shah Abdul Latif Bitaai Road New Kalri Karachi</t>
  </si>
  <si>
    <t>Suleman Azad road street 1  agrah Taj lyari karachi</t>
  </si>
  <si>
    <t>PK22BKIP0121200072340016</t>
  </si>
  <si>
    <t>M Iqbal</t>
  </si>
  <si>
    <t>Suleman Azad road street 1 agrah Taj lyari karachi</t>
  </si>
  <si>
    <t>42101-1623961-7</t>
  </si>
  <si>
    <t xml:space="preserve">Mustafa </t>
  </si>
  <si>
    <t xml:space="preserve">Yaqoob </t>
  </si>
  <si>
    <t>CR0879613</t>
  </si>
  <si>
    <t xml:space="preserve">North Karachi Godhra Colony </t>
  </si>
  <si>
    <t>03212194671</t>
  </si>
  <si>
    <t>Rehana</t>
  </si>
  <si>
    <t>42101-1732598-6</t>
  </si>
  <si>
    <t>03462194675</t>
  </si>
  <si>
    <t>PK50 BAHL |203 098| 0005 9301</t>
  </si>
  <si>
    <t>MUSTAFA S/O YAQOOB</t>
  </si>
  <si>
    <t>A negetive</t>
  </si>
  <si>
    <t>Suleman Azad road street 1 Agrah Taj lyari karachi</t>
  </si>
  <si>
    <t>ABU HURAIRA</t>
  </si>
  <si>
    <t>CU0874243</t>
  </si>
  <si>
    <t>42101-5821424-9</t>
  </si>
  <si>
    <t xml:space="preserve">North Karachi Godhra colony </t>
  </si>
  <si>
    <t>03043078316</t>
  </si>
  <si>
    <t>PK50 BAHL |203 098| 0005 930|</t>
  </si>
  <si>
    <t xml:space="preserve">MUSTAFA S/O YAQOOB </t>
  </si>
  <si>
    <t>M hussain</t>
  </si>
  <si>
    <t>Parveen</t>
  </si>
  <si>
    <t>A posetive</t>
  </si>
  <si>
    <t>Chakiwara no 2 lyari karachi</t>
  </si>
  <si>
    <t>Zeshan Muhammad hussainw</t>
  </si>
  <si>
    <t>03102135575</t>
  </si>
  <si>
    <t>0108-230491193</t>
  </si>
  <si>
    <t>Muhammad Anus</t>
  </si>
  <si>
    <t>Anus</t>
  </si>
  <si>
    <t>DD1716061</t>
  </si>
  <si>
    <t>C35 Bantwa Nagar, Azam Nagar, Balouch Hotel, Liaquatabad, Karachi Central</t>
  </si>
  <si>
    <t>+923332289270</t>
  </si>
  <si>
    <t>+923462872801</t>
  </si>
  <si>
    <t xml:space="preserve">B possetive </t>
  </si>
  <si>
    <t>Chakiwara no 2</t>
  </si>
  <si>
    <t>03232688313</t>
  </si>
  <si>
    <t>Nimra</t>
  </si>
  <si>
    <t>Brother inlow</t>
  </si>
  <si>
    <t>42101-3585003-5</t>
  </si>
  <si>
    <t>Syed Manzoor Ali</t>
  </si>
  <si>
    <t>Syed Ghaffar Ali</t>
  </si>
  <si>
    <t>XK1810032</t>
  </si>
  <si>
    <t>Mangophir Karachi</t>
  </si>
  <si>
    <t>03042307226</t>
  </si>
  <si>
    <t>Syed Mustafa Ali</t>
  </si>
  <si>
    <t>42101-3274302-1</t>
  </si>
  <si>
    <t>03708956979</t>
  </si>
  <si>
    <t>Manzoor</t>
  </si>
  <si>
    <t>CD0712072</t>
  </si>
  <si>
    <t>42101-2366207-0</t>
  </si>
  <si>
    <t>Manghopir karachi</t>
  </si>
  <si>
    <t>03158717579</t>
  </si>
  <si>
    <t>42101-1638088-9</t>
  </si>
  <si>
    <t>Faisal Hussain</t>
  </si>
  <si>
    <t xml:space="preserve">Faisal </t>
  </si>
  <si>
    <t>BD8915212</t>
  </si>
  <si>
    <t>42101-4585521-0</t>
  </si>
  <si>
    <t>R-568 Block 8, Azizabad, F.B.Area, Karachi</t>
  </si>
  <si>
    <t>0336-0222734</t>
  </si>
  <si>
    <t>Behzad Hussain</t>
  </si>
  <si>
    <t>42101-9503071-7</t>
  </si>
  <si>
    <t>0307-3015636</t>
  </si>
  <si>
    <t>42301-0534389-1</t>
  </si>
  <si>
    <t>Usama khanani</t>
  </si>
  <si>
    <t>Khanani</t>
  </si>
  <si>
    <t>Usama</t>
  </si>
  <si>
    <t>Muhammad Yousuf Khanani</t>
  </si>
  <si>
    <t>CE4123893</t>
  </si>
  <si>
    <t xml:space="preserve">Flat # 205 2nd flour Al Sadiq Heights Near Aisha Masjid Parsi colony Numaish Karachi Pakistan </t>
  </si>
  <si>
    <t>03343783577</t>
  </si>
  <si>
    <t>Bilal yousuf khanani</t>
  </si>
  <si>
    <t>42301-0535339-1</t>
  </si>
  <si>
    <t>03212306433</t>
  </si>
  <si>
    <t>PK24HABB0000177900844701</t>
  </si>
  <si>
    <t>USAMA KHANANI</t>
  </si>
  <si>
    <t>Usama Khanani</t>
  </si>
  <si>
    <t>USAMA</t>
  </si>
  <si>
    <t>MARIA</t>
  </si>
  <si>
    <t>BA9453635</t>
  </si>
  <si>
    <t>42201-2016363-8</t>
  </si>
  <si>
    <t>Flat # 205 2nd Floor Al Sadiq Heights Near Aisha Masjid parsi colony numaish karachi pakistan.</t>
  </si>
  <si>
    <t>03323783749</t>
  </si>
  <si>
    <t xml:space="preserve">Brother In Law </t>
  </si>
  <si>
    <t>0321-2306433</t>
  </si>
  <si>
    <t>Faisal</t>
  </si>
  <si>
    <t>R-568 Block 8, Azizabad</t>
  </si>
  <si>
    <t>03330339956</t>
  </si>
  <si>
    <t>behzad Hussain</t>
  </si>
  <si>
    <t>0337-3015636</t>
  </si>
  <si>
    <t>42201-0556037-3</t>
  </si>
  <si>
    <t>M.Iqbal</t>
  </si>
  <si>
    <t xml:space="preserve">Iqbal </t>
  </si>
  <si>
    <t>Abdul Ghaffar Qasim</t>
  </si>
  <si>
    <t>BL1330373</t>
  </si>
  <si>
    <t>T-29 Hassan Appartment Extention  Gulshan iqbal</t>
  </si>
  <si>
    <t>03213239598</t>
  </si>
  <si>
    <t>Muhammad Fahad</t>
  </si>
  <si>
    <t>42201-9475678-3</t>
  </si>
  <si>
    <t>03452740985</t>
  </si>
  <si>
    <t xml:space="preserve">Muhammed Amjad </t>
  </si>
  <si>
    <t xml:space="preserve">Amjad </t>
  </si>
  <si>
    <t>Muhammed yousuf</t>
  </si>
  <si>
    <t xml:space="preserve">Maniya society </t>
  </si>
  <si>
    <t>03332201903</t>
  </si>
  <si>
    <t>Muhammad Adnan</t>
  </si>
  <si>
    <t>03333088183</t>
  </si>
  <si>
    <t xml:space="preserve">Faisal Muhammad </t>
  </si>
  <si>
    <t>HS5755552</t>
  </si>
  <si>
    <t>2nd floor 8/5 3a Nazimabad karachi</t>
  </si>
  <si>
    <t>03422884464</t>
  </si>
  <si>
    <t>Muhammad Fawad saleem</t>
  </si>
  <si>
    <t>Younger Bro</t>
  </si>
  <si>
    <t>03232189571</t>
  </si>
  <si>
    <t>01800101273643</t>
  </si>
  <si>
    <t>Faisal Muhammad Saleem</t>
  </si>
  <si>
    <t>Sumiya</t>
  </si>
  <si>
    <t>JF8913771</t>
  </si>
  <si>
    <t xml:space="preserve">2nd floor 8/5 3a Nazimabad karachi </t>
  </si>
  <si>
    <t>03242808991</t>
  </si>
  <si>
    <t>Fawad Muhammad Saleem</t>
  </si>
  <si>
    <t>Bro in law</t>
  </si>
  <si>
    <t>Qasim</t>
  </si>
  <si>
    <t>Lakhan street, Plot # C-032, Area # Baba Iland, Keamari, Karachi.</t>
  </si>
  <si>
    <t>PK32BAHL5048008100120501</t>
  </si>
  <si>
    <t>Qasim s/o Hassan</t>
  </si>
  <si>
    <t>Sher</t>
  </si>
  <si>
    <t>Lakhan Street, Plot # C-032, Area # Baba Iland, Keamari, Karachi.</t>
  </si>
  <si>
    <t>42301-5266481-9</t>
  </si>
  <si>
    <t>Ahsan</t>
  </si>
  <si>
    <t>Ahsi</t>
  </si>
  <si>
    <t xml:space="preserve">Muhammad Anis </t>
  </si>
  <si>
    <t>Ah1114813</t>
  </si>
  <si>
    <t>423015266481-9</t>
  </si>
  <si>
    <t xml:space="preserve">Clifton Karachi </t>
  </si>
  <si>
    <t>03342315393</t>
  </si>
  <si>
    <t xml:space="preserve">Abdul Rahim </t>
  </si>
  <si>
    <t>42301-7036587-7</t>
  </si>
  <si>
    <t>03362577506</t>
  </si>
  <si>
    <t>0163-0102261657</t>
  </si>
  <si>
    <t>Aisha</t>
  </si>
  <si>
    <t>Aa7946293</t>
  </si>
  <si>
    <t>42301-2196629-0</t>
  </si>
  <si>
    <t>03336256044</t>
  </si>
  <si>
    <t>01630102261657</t>
  </si>
  <si>
    <t>UMAIR</t>
  </si>
  <si>
    <t>ASHRAF</t>
  </si>
  <si>
    <t>R5367948</t>
  </si>
  <si>
    <t>R-110 Gulshan bungalows block 19 gulistan e johar karachi</t>
  </si>
  <si>
    <t>03072275960</t>
  </si>
  <si>
    <t>ANUM</t>
  </si>
  <si>
    <t>03112953646</t>
  </si>
  <si>
    <t>PK97HABB0005687901427003</t>
  </si>
  <si>
    <t xml:space="preserve">UMAIR ASHRAF </t>
  </si>
  <si>
    <t xml:space="preserve">UMAIR </t>
  </si>
  <si>
    <t>M7787469</t>
  </si>
  <si>
    <t xml:space="preserve">R-110 Gulshan bungalows block 19 gulistan e johar karachi </t>
  </si>
  <si>
    <t xml:space="preserve">HUSBAND </t>
  </si>
  <si>
    <t>Muhammad Ahmed Raza</t>
  </si>
  <si>
    <t>Muhammad Yahya</t>
  </si>
  <si>
    <t>PQ1185281</t>
  </si>
  <si>
    <t xml:space="preserve">Bismillah palace near bahar e sharyat masjid sharfabad Bahadurabad </t>
  </si>
  <si>
    <t>03313218707</t>
  </si>
  <si>
    <t>03361121932</t>
  </si>
  <si>
    <t>MUHAMMAD YAHYA MEEZAN BANK AC NO : 01100107059030 IBAN : PK02 MEZN 0001 1001 0705 9030</t>
  </si>
  <si>
    <t>Muhammad Anwaar</t>
  </si>
  <si>
    <t>Siddiqui</t>
  </si>
  <si>
    <t>Haris Zubair</t>
  </si>
  <si>
    <t>Dl5467623</t>
  </si>
  <si>
    <t>249b Block 6 PECHS khi</t>
  </si>
  <si>
    <t>03352448719</t>
  </si>
  <si>
    <t>Anwaar Siddiqui</t>
  </si>
  <si>
    <t>PK16UNIL0109000242465678</t>
  </si>
  <si>
    <t>423017809975_9</t>
  </si>
  <si>
    <t xml:space="preserve">Saleem Ibrahim </t>
  </si>
  <si>
    <t xml:space="preserve"> Ibrahim </t>
  </si>
  <si>
    <t>BQ1029752</t>
  </si>
  <si>
    <t>423017809975#9</t>
  </si>
  <si>
    <t xml:space="preserve">Qasre Madina 5th floor plot no9 bambae bazar kharadar Karachi </t>
  </si>
  <si>
    <t>03132367900</t>
  </si>
  <si>
    <t xml:space="preserve">Aqeel Ibrahim </t>
  </si>
  <si>
    <t>42301-9194815-1</t>
  </si>
  <si>
    <t>03132505057</t>
  </si>
  <si>
    <t>42101-9637972-1</t>
  </si>
  <si>
    <t>Muhammad Wasim</t>
  </si>
  <si>
    <t>Wasim</t>
  </si>
  <si>
    <t>Muhammad siddiq</t>
  </si>
  <si>
    <t>CU6859722</t>
  </si>
  <si>
    <t>House number B-66 sec 11-G new karachi</t>
  </si>
  <si>
    <t>03233501431</t>
  </si>
  <si>
    <t>42101-1208657-3</t>
  </si>
  <si>
    <t>03212750704</t>
  </si>
  <si>
    <t>PK76MEZN0001930104365179</t>
  </si>
  <si>
    <t>MUHAMMAD WASIM</t>
  </si>
  <si>
    <t xml:space="preserve">Muhammad Rahil </t>
  </si>
  <si>
    <t>Rahil</t>
  </si>
  <si>
    <t xml:space="preserve">Muhammad Arif </t>
  </si>
  <si>
    <t xml:space="preserve">Nazimabad </t>
  </si>
  <si>
    <t>03212868817</t>
  </si>
  <si>
    <t>Madiha</t>
  </si>
  <si>
    <t>03332058281</t>
  </si>
  <si>
    <t>Muhammad y</t>
  </si>
  <si>
    <t>Ab+</t>
  </si>
  <si>
    <t xml:space="preserve">Madiha </t>
  </si>
  <si>
    <t>42101-2017702-3</t>
  </si>
  <si>
    <t xml:space="preserve">Shoaib Muhammad </t>
  </si>
  <si>
    <t xml:space="preserve">SHOAIB </t>
  </si>
  <si>
    <t xml:space="preserve">NOOR MUHAMMAD </t>
  </si>
  <si>
    <t>RD0167021</t>
  </si>
  <si>
    <t>03128659198</t>
  </si>
  <si>
    <t>42101-8271085-7</t>
  </si>
  <si>
    <t>03332325290</t>
  </si>
  <si>
    <t>PK48MEZN0001250101856230</t>
  </si>
  <si>
    <t>Abdul mutalib</t>
  </si>
  <si>
    <t>Silat</t>
  </si>
  <si>
    <t>DE8966883</t>
  </si>
  <si>
    <t>03333473002</t>
  </si>
  <si>
    <t>Zeeshan silat</t>
  </si>
  <si>
    <t>03122366889</t>
  </si>
  <si>
    <t>01250103482057</t>
  </si>
  <si>
    <t>Muhammad Amir</t>
  </si>
  <si>
    <t>Allah Noor</t>
  </si>
  <si>
    <t>House # N-260, Sector 35-C, Korangi 3-1/2, Karachi</t>
  </si>
  <si>
    <t>03212531682</t>
  </si>
  <si>
    <t xml:space="preserve">Shahana </t>
  </si>
  <si>
    <t>03132282790</t>
  </si>
  <si>
    <t>PK24MEZN0099930110588130</t>
  </si>
  <si>
    <t xml:space="preserve">ANAS PLASTIC </t>
  </si>
  <si>
    <t>42301-6356178-3</t>
  </si>
  <si>
    <t>Ussama</t>
  </si>
  <si>
    <t>AYUB</t>
  </si>
  <si>
    <t>Muhammad Ayub</t>
  </si>
  <si>
    <t>AT1131782</t>
  </si>
  <si>
    <t>Flat No5 3rd floor Al-Qamar Mansion burns road south karachi</t>
  </si>
  <si>
    <t>03212700164</t>
  </si>
  <si>
    <t>42301-3447241-5</t>
  </si>
  <si>
    <t>03222505075</t>
  </si>
  <si>
    <t>PK04MEZN0001640103475205</t>
  </si>
  <si>
    <t>USSAMA</t>
  </si>
  <si>
    <t>42201-1642171-5</t>
  </si>
  <si>
    <t>Muhammad Rasim Qureshi</t>
  </si>
  <si>
    <t>Aleem</t>
  </si>
  <si>
    <t>Khudaija Aleem</t>
  </si>
  <si>
    <t>Muhammad Aleem Qureshi</t>
  </si>
  <si>
    <t>42201-0643261-4</t>
  </si>
  <si>
    <t>L-649 Sector 2 North Karachi.</t>
  </si>
  <si>
    <t>92332- 8278682</t>
  </si>
  <si>
    <t>0332- 8278682</t>
  </si>
  <si>
    <t>Muhammad Zunair Qureshi</t>
  </si>
  <si>
    <t>42201-2545997-3</t>
  </si>
  <si>
    <t>0335-7596636</t>
  </si>
  <si>
    <t>01080107517815</t>
  </si>
  <si>
    <t>42401-8841192-1</t>
  </si>
  <si>
    <t xml:space="preserve">Abdul Munaf </t>
  </si>
  <si>
    <t xml:space="preserve">Mohammed </t>
  </si>
  <si>
    <t>AE0781922</t>
  </si>
  <si>
    <t xml:space="preserve">Khawja gareeb Nawaz heights 2nd floor front portion plot no 4/23 nazmabad no 3b </t>
  </si>
  <si>
    <t>03218793525</t>
  </si>
  <si>
    <t>42301-9698364-6</t>
  </si>
  <si>
    <t>03222508056</t>
  </si>
  <si>
    <t>Pk35BAHL1182182500860601</t>
  </si>
  <si>
    <t xml:space="preserve">Sadia </t>
  </si>
  <si>
    <t>Qureshi</t>
  </si>
  <si>
    <t>L-649 SECTOR 2 North Karachi.</t>
  </si>
  <si>
    <t>0327-2510491</t>
  </si>
  <si>
    <t>MUHAMMAD RASIM QURESHI</t>
  </si>
  <si>
    <t>Muhammad Nasir</t>
  </si>
  <si>
    <t>Nasir</t>
  </si>
  <si>
    <t xml:space="preserve"> Jan Muhammad</t>
  </si>
  <si>
    <t>BE9823713</t>
  </si>
  <si>
    <t>Flat No 3, 2nd Floor, Latif Manzil, G.k ^/95 G. Allana Road, Kharadar, Karachi</t>
  </si>
  <si>
    <t>03362271566</t>
  </si>
  <si>
    <t>03062522562</t>
  </si>
  <si>
    <t>Muhammad Sadiq</t>
  </si>
  <si>
    <t>Brother in Law (Sala)</t>
  </si>
  <si>
    <t>03082374329</t>
  </si>
  <si>
    <t>PK95MPBL0128567140160630</t>
  </si>
  <si>
    <t>Mohammad Nasir</t>
  </si>
  <si>
    <t>hamm</t>
  </si>
  <si>
    <t>Flat No,3, 2nd Floor, Latif Manzil, G.K 6/95 G. Allana Road, Kharadar, Karachi</t>
  </si>
  <si>
    <t xml:space="preserve"> PK95MPBL0128567140160630</t>
  </si>
  <si>
    <t>Muhammad Sarfaraz</t>
  </si>
  <si>
    <t xml:space="preserve">Muhammad Sarfaraz </t>
  </si>
  <si>
    <t>SARARAZ</t>
  </si>
  <si>
    <t>ABDUL WAHID</t>
  </si>
  <si>
    <t>BA5980544</t>
  </si>
  <si>
    <t>42301-1054054-3</t>
  </si>
  <si>
    <t>SHARFABAD , BAHADURABAD KARACHI</t>
  </si>
  <si>
    <t>03219268789</t>
  </si>
  <si>
    <t>42301-6523194-1</t>
  </si>
  <si>
    <t>03212770389</t>
  </si>
  <si>
    <t>PK02MEZN0001900104627782</t>
  </si>
  <si>
    <t>42201-5851978-9</t>
  </si>
  <si>
    <t>Shehroze Ahmed</t>
  </si>
  <si>
    <t>Shehroze</t>
  </si>
  <si>
    <t>TU1159783</t>
  </si>
  <si>
    <t>House H92 Cantt Bazar Malir Cantt Karachi</t>
  </si>
  <si>
    <t>+923009288085</t>
  </si>
  <si>
    <t>42201-5569859-7</t>
  </si>
  <si>
    <t>+923219288085</t>
  </si>
  <si>
    <t>PK14MEZN0001200104506642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</si>
</sst>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791F1F"/>
      <name val="&quot;Anthropic Sans&quot;"/>
    </font>
  </fonts>
  <fills count="3">
    <fill>
      <patternFill patternType="none"/>
    </fill>
    <fill>
      <patternFill patternType="lightGray"/>
    </fill>
    <fill>
      <patternFill patternType="solid">
        <fgColor rgb="FFFCEBEB"/>
        <bgColor rgb="FFFCEBEB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362" displayName="Form_Responses" name="Form_Responses" id="1">
  <tableColumns count="28">
    <tableColumn name="Timestamp" id="1"/>
    <tableColumn name="Family Size  " id="2"/>
    <tableColumn name="Family Number" id="3"/>
    <tableColumn name="Family Leader's Cnic Number " id="4"/>
    <tableColumn name="Family Leader's Name" id="5"/>
    <tableColumn name="  Applicant Type  " id="6"/>
    <tableColumn name="Surname of Applicant  " id="7"/>
    <tableColumn name="Given Name of Applicant  " id="8"/>
    <tableColumn name="Father's / Husband's Name  " id="9"/>
    <tableColumn name="  Gender  " id="10"/>
    <tableColumn name="Passport No.  " id="11"/>
    <tableColumn name="Passport Date of Expiry  " id="12"/>
    <tableColumn name="CNIC No.  " id="13"/>
    <tableColumn name="Date of Birth  " id="14"/>
    <tableColumn name="Blood Group  " id="15"/>
    <tableColumn name="Present Postal Address  " id="16"/>
    <tableColumn name="Moile Servie Provider" id="17"/>
    <tableColumn name="Mobile No.  " id="18"/>
    <tableColumn name="Whatsapp Number" id="19"/>
    <tableColumn name="Mehram Name(In case of Female) " id="20"/>
    <tableColumn name="Relationship with Mehram" id="21"/>
    <tableColumn name="Nominee Name  " id="22"/>
    <tableColumn name="Nominee CNIC No.  " id="23"/>
    <tableColumn name="Relationship with Applicant" id="24"/>
    <tableColumn name=" Nominee Mobile No.  " id="25"/>
    <tableColumn name="Bank Account No.  (IBAN )  " id="26"/>
    <tableColumn name="Account Title" id="27"/>
    <tableColumn name="Column 27" id="2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75"/>
    <col customWidth="1" min="5" max="5" width="21.38"/>
    <col customWidth="1" min="6" max="6" width="18.88"/>
    <col customWidth="1" min="7" max="7" width="21.88"/>
    <col customWidth="1" min="8" max="8" width="24.13"/>
    <col customWidth="1" min="9" max="9" width="25.63"/>
    <col customWidth="1" min="10" max="11" width="18.88"/>
    <col customWidth="1" min="12" max="12" width="23.13"/>
    <col customWidth="1" min="13" max="15" width="18.88"/>
    <col customWidth="1" min="16" max="16" width="23.13"/>
    <col customWidth="1" min="17" max="17" width="20.63"/>
    <col customWidth="1" min="18" max="19" width="18.88"/>
    <col customWidth="1" min="20" max="20" width="30.5"/>
    <col customWidth="1" min="21" max="21" width="24.25"/>
    <col customWidth="1" min="22" max="22" width="18.88"/>
    <col customWidth="1" min="23" max="23" width="19.75"/>
    <col customWidth="1" min="24" max="24" width="25.0"/>
    <col customWidth="1" min="25" max="25" width="21.38"/>
    <col customWidth="1" min="26" max="26" width="25.13"/>
    <col customWidth="1" min="27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 ht="22.5" customHeight="1">
      <c r="A2" s="3">
        <v>46192.6197015625</v>
      </c>
      <c r="B2" s="4">
        <v>1.0</v>
      </c>
      <c r="C2" s="5" t="str">
        <f>IFERROR(__xludf.DUMMYFUNCTION("ARRAYFORMULA(
IF(D2:D461="""","""",
IF(UPPER(TRIM(F2:F461))=""SHORT"",""S"",""L"")&amp;
IF(
UPPER(TRIM(F2:F461))=""SHORT"",
MATCH(
REGEXREPLACE(TO_TEXT(D2:D461),""[^0-9]"",""""),
UNIQUE(
FILTER(
REGEXREPLACE(TO_TEXT(D2:D461),""[^0-9]"",""""),
(D2:D461&lt;&gt;"""")*"&amp;"(UPPER(TRIM(F2:F461))=""SHORT"")
)
),
0
),
MATCH(
REGEXREPLACE(TO_TEXT(D2:D461),""[^0-9]"",""""),
UNIQUE(
FILTER(
REGEXREPLACE(TO_TEXT(D2:D461),""[^0-9]"",""""),
(D2:D461&lt;&gt;"""")*(UPPER(TRIM(F2:F461))=""LONG"")
)
),
0
)
)
))"),"S1")</f>
        <v>S1</v>
      </c>
      <c r="D2" s="4">
        <v>4.230161590263E12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6">
        <v>47118.0</v>
      </c>
      <c r="M2" s="4">
        <v>4.230161590263E12</v>
      </c>
      <c r="N2" s="6">
        <v>32488.0</v>
      </c>
      <c r="O2" s="4" t="s">
        <v>35</v>
      </c>
      <c r="P2" s="4" t="s">
        <v>36</v>
      </c>
      <c r="Q2" s="4" t="s">
        <v>37</v>
      </c>
      <c r="R2" s="7" t="s">
        <v>38</v>
      </c>
      <c r="S2" s="7" t="s">
        <v>38</v>
      </c>
      <c r="V2" s="4" t="s">
        <v>39</v>
      </c>
      <c r="W2" s="4">
        <v>4.23016417121E11</v>
      </c>
      <c r="X2" s="4" t="s">
        <v>40</v>
      </c>
      <c r="Y2" s="7" t="s">
        <v>41</v>
      </c>
      <c r="Z2" s="4" t="s">
        <v>42</v>
      </c>
      <c r="AA2" s="4" t="s">
        <v>43</v>
      </c>
      <c r="AB2" s="8"/>
    </row>
    <row r="3" ht="22.5" customHeight="1">
      <c r="A3" s="3">
        <v>46192.621136863425</v>
      </c>
      <c r="B3" s="4">
        <v>6.0</v>
      </c>
      <c r="C3" s="4" t="str">
        <f>IFERROR(__xludf.DUMMYFUNCTION("""COMPUTED_VALUE"""),"L1")</f>
        <v>L1</v>
      </c>
      <c r="D3" s="4">
        <v>4.230154778115E12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4" t="s">
        <v>33</v>
      </c>
      <c r="K3" s="4" t="s">
        <v>49</v>
      </c>
      <c r="L3" s="6">
        <v>46770.0</v>
      </c>
      <c r="M3" s="4">
        <v>4.230154778115E12</v>
      </c>
      <c r="N3" s="6">
        <v>19906.0</v>
      </c>
      <c r="O3" s="4" t="s">
        <v>50</v>
      </c>
      <c r="P3" s="4" t="s">
        <v>51</v>
      </c>
      <c r="Q3" s="4" t="s">
        <v>52</v>
      </c>
      <c r="R3" s="7" t="s">
        <v>53</v>
      </c>
      <c r="S3" s="7" t="s">
        <v>54</v>
      </c>
      <c r="T3" s="4" t="s">
        <v>55</v>
      </c>
      <c r="U3" s="4" t="s">
        <v>56</v>
      </c>
      <c r="V3" s="4" t="s">
        <v>55</v>
      </c>
      <c r="W3" s="4">
        <v>4.230154778115E12</v>
      </c>
      <c r="X3" s="4" t="s">
        <v>40</v>
      </c>
      <c r="Y3" s="7" t="s">
        <v>53</v>
      </c>
      <c r="Z3" s="4" t="s">
        <v>57</v>
      </c>
      <c r="AA3" s="4" t="s">
        <v>57</v>
      </c>
      <c r="AB3" s="8"/>
    </row>
    <row r="4" ht="22.5" customHeight="1">
      <c r="A4" s="3">
        <v>46192.62405950231</v>
      </c>
      <c r="B4" s="4">
        <v>6.0</v>
      </c>
      <c r="C4" s="5" t="str">
        <f>IFERROR(__xludf.DUMMYFUNCTION("""COMPUTED_VALUE"""),"L1")</f>
        <v>L1</v>
      </c>
      <c r="D4" s="4">
        <v>4.230154778115E12</v>
      </c>
      <c r="E4" s="4" t="s">
        <v>58</v>
      </c>
      <c r="F4" s="4" t="s">
        <v>45</v>
      </c>
      <c r="G4" s="4" t="s">
        <v>55</v>
      </c>
      <c r="H4" s="4" t="s">
        <v>59</v>
      </c>
      <c r="I4" s="4" t="s">
        <v>55</v>
      </c>
      <c r="J4" s="4" t="s">
        <v>60</v>
      </c>
      <c r="K4" s="4" t="s">
        <v>61</v>
      </c>
      <c r="L4" s="6">
        <v>46770.0</v>
      </c>
      <c r="M4" s="4">
        <v>4.230110158726E12</v>
      </c>
      <c r="N4" s="6">
        <v>22391.0</v>
      </c>
      <c r="O4" s="4" t="s">
        <v>62</v>
      </c>
      <c r="P4" s="4" t="s">
        <v>63</v>
      </c>
      <c r="Q4" s="4" t="s">
        <v>52</v>
      </c>
      <c r="R4" s="7" t="s">
        <v>64</v>
      </c>
      <c r="S4" s="7" t="s">
        <v>64</v>
      </c>
      <c r="T4" s="4" t="s">
        <v>55</v>
      </c>
      <c r="U4" s="4" t="s">
        <v>65</v>
      </c>
      <c r="V4" s="4" t="s">
        <v>66</v>
      </c>
      <c r="W4" s="4">
        <v>4.230110158726E12</v>
      </c>
      <c r="X4" s="4" t="s">
        <v>67</v>
      </c>
      <c r="Y4" s="7" t="s">
        <v>64</v>
      </c>
      <c r="Z4" s="4" t="s">
        <v>57</v>
      </c>
      <c r="AA4" s="4" t="s">
        <v>57</v>
      </c>
      <c r="AB4" s="8"/>
    </row>
    <row r="5" ht="22.5" customHeight="1">
      <c r="A5" s="3">
        <v>46192.62569296296</v>
      </c>
      <c r="B5" s="4">
        <v>3.0</v>
      </c>
      <c r="C5" s="5" t="str">
        <f>IFERROR(__xludf.DUMMYFUNCTION("""COMPUTED_VALUE"""),"L2")</f>
        <v>L2</v>
      </c>
      <c r="D5" s="4" t="s">
        <v>68</v>
      </c>
      <c r="E5" s="4" t="s">
        <v>69</v>
      </c>
      <c r="F5" s="4" t="s">
        <v>45</v>
      </c>
      <c r="G5" s="4" t="s">
        <v>70</v>
      </c>
      <c r="H5" s="4" t="s">
        <v>71</v>
      </c>
      <c r="I5" s="4" t="s">
        <v>72</v>
      </c>
      <c r="J5" s="4" t="s">
        <v>33</v>
      </c>
      <c r="K5" s="4" t="s">
        <v>73</v>
      </c>
      <c r="L5" s="6">
        <v>46886.0</v>
      </c>
      <c r="M5" s="4" t="s">
        <v>68</v>
      </c>
      <c r="N5" s="6">
        <v>32791.0</v>
      </c>
      <c r="O5" s="4" t="s">
        <v>74</v>
      </c>
      <c r="P5" s="4" t="s">
        <v>75</v>
      </c>
      <c r="Q5" s="4" t="s">
        <v>37</v>
      </c>
      <c r="R5" s="4" t="s">
        <v>76</v>
      </c>
      <c r="S5" s="4" t="s">
        <v>76</v>
      </c>
      <c r="U5" s="9">
        <v>4.23010797069E11</v>
      </c>
      <c r="V5" s="4" t="s">
        <v>77</v>
      </c>
      <c r="W5" s="4" t="s">
        <v>78</v>
      </c>
      <c r="X5" s="4" t="s">
        <v>79</v>
      </c>
      <c r="Y5" s="4" t="s">
        <v>80</v>
      </c>
      <c r="Z5" s="4" t="s">
        <v>81</v>
      </c>
      <c r="AA5" s="4" t="s">
        <v>82</v>
      </c>
      <c r="AB5" s="8"/>
    </row>
    <row r="6" ht="22.5" customHeight="1">
      <c r="A6" s="3">
        <v>46192.63451002315</v>
      </c>
      <c r="B6" s="4">
        <v>3.0</v>
      </c>
      <c r="C6" s="5" t="str">
        <f>IFERROR(__xludf.DUMMYFUNCTION("""COMPUTED_VALUE"""),"L2")</f>
        <v>L2</v>
      </c>
      <c r="D6" s="4" t="s">
        <v>68</v>
      </c>
      <c r="E6" s="4" t="s">
        <v>69</v>
      </c>
      <c r="F6" s="4" t="s">
        <v>45</v>
      </c>
      <c r="G6" s="4" t="s">
        <v>70</v>
      </c>
      <c r="H6" s="4" t="s">
        <v>31</v>
      </c>
      <c r="I6" s="4" t="s">
        <v>83</v>
      </c>
      <c r="J6" s="4" t="s">
        <v>33</v>
      </c>
      <c r="K6" s="4" t="s">
        <v>84</v>
      </c>
      <c r="L6" s="6">
        <v>47272.0</v>
      </c>
      <c r="M6" s="4" t="s">
        <v>85</v>
      </c>
      <c r="N6" s="6">
        <v>21468.0</v>
      </c>
      <c r="O6" s="4" t="s">
        <v>74</v>
      </c>
      <c r="P6" s="4" t="s">
        <v>75</v>
      </c>
      <c r="Q6" s="4" t="s">
        <v>37</v>
      </c>
      <c r="R6" s="4" t="s">
        <v>86</v>
      </c>
      <c r="S6" s="4" t="s">
        <v>86</v>
      </c>
      <c r="V6" s="4" t="s">
        <v>77</v>
      </c>
      <c r="W6" s="4" t="s">
        <v>78</v>
      </c>
      <c r="X6" s="4" t="s">
        <v>87</v>
      </c>
      <c r="Y6" s="7" t="s">
        <v>88</v>
      </c>
      <c r="Z6" s="4" t="s">
        <v>81</v>
      </c>
      <c r="AA6" s="4" t="s">
        <v>82</v>
      </c>
      <c r="AB6" s="8"/>
    </row>
    <row r="7" ht="22.5" customHeight="1">
      <c r="A7" s="3">
        <v>46192.63899905093</v>
      </c>
      <c r="B7" s="4">
        <v>3.0</v>
      </c>
      <c r="C7" s="5" t="str">
        <f>IFERROR(__xludf.DUMMYFUNCTION("""COMPUTED_VALUE"""),"L2")</f>
        <v>L2</v>
      </c>
      <c r="D7" s="4" t="s">
        <v>68</v>
      </c>
      <c r="E7" s="4" t="s">
        <v>69</v>
      </c>
      <c r="F7" s="4" t="s">
        <v>45</v>
      </c>
      <c r="G7" s="4" t="s">
        <v>89</v>
      </c>
      <c r="H7" s="4" t="s">
        <v>90</v>
      </c>
      <c r="I7" s="4" t="s">
        <v>69</v>
      </c>
      <c r="J7" s="4" t="s">
        <v>60</v>
      </c>
      <c r="K7" s="4" t="s">
        <v>91</v>
      </c>
      <c r="L7" s="6">
        <v>47251.0</v>
      </c>
      <c r="M7" s="4" t="s">
        <v>92</v>
      </c>
      <c r="N7" s="6">
        <v>33026.0</v>
      </c>
      <c r="O7" s="4" t="s">
        <v>74</v>
      </c>
      <c r="P7" s="4" t="s">
        <v>75</v>
      </c>
      <c r="Q7" s="4" t="s">
        <v>37</v>
      </c>
      <c r="R7" s="4" t="s">
        <v>93</v>
      </c>
      <c r="S7" s="4" t="s">
        <v>93</v>
      </c>
      <c r="T7" s="4" t="s">
        <v>69</v>
      </c>
      <c r="U7" s="4" t="s">
        <v>67</v>
      </c>
      <c r="V7" s="4" t="s">
        <v>94</v>
      </c>
      <c r="W7" s="4" t="s">
        <v>95</v>
      </c>
      <c r="X7" s="4" t="s">
        <v>79</v>
      </c>
      <c r="Y7" s="7" t="s">
        <v>96</v>
      </c>
      <c r="Z7" s="4" t="s">
        <v>81</v>
      </c>
      <c r="AA7" s="4" t="s">
        <v>82</v>
      </c>
      <c r="AB7" s="8"/>
    </row>
    <row r="8" ht="22.5" customHeight="1">
      <c r="A8" s="3">
        <v>46192.639700590276</v>
      </c>
      <c r="B8" s="4">
        <v>2.0</v>
      </c>
      <c r="C8" s="5" t="str">
        <f>IFERROR(__xludf.DUMMYFUNCTION("""COMPUTED_VALUE"""),"L3")</f>
        <v>L3</v>
      </c>
      <c r="D8" s="4">
        <v>4.220131689821E12</v>
      </c>
      <c r="E8" s="4" t="s">
        <v>97</v>
      </c>
      <c r="F8" s="4" t="s">
        <v>45</v>
      </c>
      <c r="G8" s="4" t="s">
        <v>98</v>
      </c>
      <c r="H8" s="4" t="s">
        <v>99</v>
      </c>
      <c r="I8" s="4" t="s">
        <v>100</v>
      </c>
      <c r="J8" s="4" t="s">
        <v>33</v>
      </c>
      <c r="K8" s="4" t="s">
        <v>101</v>
      </c>
      <c r="L8" s="6">
        <v>49786.0</v>
      </c>
      <c r="M8" s="4">
        <v>4.220131689821E12</v>
      </c>
      <c r="N8" s="6">
        <v>36132.0</v>
      </c>
      <c r="O8" s="4" t="s">
        <v>35</v>
      </c>
      <c r="P8" s="4">
        <v>74400.0</v>
      </c>
      <c r="Q8" s="4" t="s">
        <v>37</v>
      </c>
      <c r="R8" s="7" t="s">
        <v>102</v>
      </c>
      <c r="S8" s="7" t="s">
        <v>102</v>
      </c>
      <c r="V8" s="4" t="s">
        <v>100</v>
      </c>
      <c r="W8" s="4">
        <v>4.220174460197E12</v>
      </c>
      <c r="X8" s="4" t="s">
        <v>103</v>
      </c>
      <c r="Y8" s="7" t="s">
        <v>104</v>
      </c>
      <c r="Z8" s="4" t="s">
        <v>105</v>
      </c>
      <c r="AA8" s="4" t="s">
        <v>97</v>
      </c>
      <c r="AB8" s="8"/>
    </row>
    <row r="9" ht="22.5" customHeight="1">
      <c r="A9" s="3">
        <v>46192.64515329861</v>
      </c>
      <c r="B9" s="4">
        <v>2.0</v>
      </c>
      <c r="C9" s="5" t="str">
        <f>IFERROR(__xludf.DUMMYFUNCTION("""COMPUTED_VALUE"""),"L3")</f>
        <v>L3</v>
      </c>
      <c r="D9" s="4">
        <v>4.220131689821E12</v>
      </c>
      <c r="E9" s="4" t="s">
        <v>106</v>
      </c>
      <c r="F9" s="4" t="s">
        <v>45</v>
      </c>
      <c r="G9" s="4" t="s">
        <v>107</v>
      </c>
      <c r="H9" s="4" t="s">
        <v>108</v>
      </c>
      <c r="I9" s="4" t="s">
        <v>109</v>
      </c>
      <c r="J9" s="4" t="s">
        <v>60</v>
      </c>
      <c r="K9" s="4" t="s">
        <v>110</v>
      </c>
      <c r="L9" s="6">
        <v>49786.0</v>
      </c>
      <c r="M9" s="4">
        <v>4.230106762666E12</v>
      </c>
      <c r="N9" s="6">
        <v>38987.0</v>
      </c>
      <c r="O9" s="4" t="s">
        <v>111</v>
      </c>
      <c r="P9" s="4">
        <v>74400.0</v>
      </c>
      <c r="Q9" s="4" t="s">
        <v>37</v>
      </c>
      <c r="R9" s="7" t="s">
        <v>112</v>
      </c>
      <c r="S9" s="7" t="s">
        <v>112</v>
      </c>
      <c r="T9" s="4" t="s">
        <v>97</v>
      </c>
      <c r="U9" s="4" t="s">
        <v>65</v>
      </c>
      <c r="V9" s="4" t="s">
        <v>100</v>
      </c>
      <c r="W9" s="4">
        <v>4.220174460197E12</v>
      </c>
      <c r="X9" s="4" t="s">
        <v>65</v>
      </c>
      <c r="Y9" s="7" t="s">
        <v>104</v>
      </c>
      <c r="Z9" s="4" t="s">
        <v>105</v>
      </c>
      <c r="AA9" s="4" t="s">
        <v>97</v>
      </c>
      <c r="AB9" s="8"/>
    </row>
    <row r="10" ht="22.5" customHeight="1">
      <c r="A10" s="3">
        <v>46192.649803611115</v>
      </c>
      <c r="B10" s="4">
        <v>2.0</v>
      </c>
      <c r="C10" s="5" t="str">
        <f>IFERROR(__xludf.DUMMYFUNCTION("""COMPUTED_VALUE"""),"L4")</f>
        <v>L4</v>
      </c>
      <c r="D10" s="4">
        <v>4.230189819063E12</v>
      </c>
      <c r="E10" s="4" t="s">
        <v>113</v>
      </c>
      <c r="F10" s="4" t="s">
        <v>45</v>
      </c>
      <c r="G10" s="4" t="s">
        <v>114</v>
      </c>
      <c r="H10" s="4" t="s">
        <v>115</v>
      </c>
      <c r="I10" s="4" t="s">
        <v>114</v>
      </c>
      <c r="J10" s="4" t="s">
        <v>33</v>
      </c>
      <c r="K10" s="4" t="s">
        <v>116</v>
      </c>
      <c r="L10" s="6">
        <v>49409.0</v>
      </c>
      <c r="M10" s="4">
        <v>4.230189819063E12</v>
      </c>
      <c r="N10" s="6">
        <v>35658.0</v>
      </c>
      <c r="O10" s="4" t="s">
        <v>117</v>
      </c>
      <c r="P10" s="4" t="s">
        <v>118</v>
      </c>
      <c r="Q10" s="4" t="s">
        <v>119</v>
      </c>
      <c r="R10" s="7" t="s">
        <v>120</v>
      </c>
      <c r="S10" s="7" t="s">
        <v>120</v>
      </c>
      <c r="T10" s="4" t="s">
        <v>121</v>
      </c>
      <c r="U10" s="4" t="s">
        <v>87</v>
      </c>
      <c r="V10" s="4" t="s">
        <v>121</v>
      </c>
      <c r="W10" s="4">
        <v>4.23010797069E12</v>
      </c>
      <c r="X10" s="4" t="s">
        <v>122</v>
      </c>
      <c r="Y10" s="7" t="s">
        <v>123</v>
      </c>
      <c r="Z10" s="4" t="s">
        <v>124</v>
      </c>
      <c r="AA10" s="4" t="s">
        <v>113</v>
      </c>
      <c r="AB10" s="8"/>
    </row>
    <row r="11" ht="22.5" customHeight="1">
      <c r="A11" s="3">
        <v>46192.65649850694</v>
      </c>
      <c r="B11" s="4">
        <v>2.0</v>
      </c>
      <c r="C11" s="5" t="str">
        <f>IFERROR(__xludf.DUMMYFUNCTION("""COMPUTED_VALUE"""),"L5")</f>
        <v>L5</v>
      </c>
      <c r="D11" s="4" t="s">
        <v>125</v>
      </c>
      <c r="E11" s="4" t="s">
        <v>126</v>
      </c>
      <c r="F11" s="4" t="s">
        <v>45</v>
      </c>
      <c r="G11" s="4" t="s">
        <v>127</v>
      </c>
      <c r="H11" s="4" t="s">
        <v>128</v>
      </c>
      <c r="I11" s="4" t="s">
        <v>129</v>
      </c>
      <c r="J11" s="4" t="s">
        <v>60</v>
      </c>
      <c r="K11" s="4" t="s">
        <v>130</v>
      </c>
      <c r="L11" s="6">
        <v>47072.0</v>
      </c>
      <c r="M11" s="4" t="s">
        <v>131</v>
      </c>
      <c r="N11" s="6">
        <v>26108.0</v>
      </c>
      <c r="O11" s="4" t="s">
        <v>35</v>
      </c>
      <c r="P11" s="4" t="s">
        <v>132</v>
      </c>
      <c r="Q11" s="4" t="s">
        <v>133</v>
      </c>
      <c r="R11" s="4" t="s">
        <v>134</v>
      </c>
      <c r="S11" s="4" t="s">
        <v>134</v>
      </c>
      <c r="T11" s="4" t="s">
        <v>135</v>
      </c>
      <c r="U11" s="4" t="s">
        <v>136</v>
      </c>
      <c r="V11" s="4" t="s">
        <v>137</v>
      </c>
      <c r="W11" s="4" t="s">
        <v>138</v>
      </c>
      <c r="X11" s="4" t="s">
        <v>139</v>
      </c>
      <c r="Y11" s="4" t="s">
        <v>140</v>
      </c>
      <c r="Z11" s="4" t="s">
        <v>141</v>
      </c>
      <c r="AA11" s="4" t="s">
        <v>142</v>
      </c>
      <c r="AB11" s="8"/>
    </row>
    <row r="12" ht="22.5" customHeight="1">
      <c r="A12" s="3">
        <v>46192.667386354166</v>
      </c>
      <c r="B12" s="4" t="s">
        <v>143</v>
      </c>
      <c r="C12" s="5" t="str">
        <f>IFERROR(__xludf.DUMMYFUNCTION("""COMPUTED_VALUE"""),"L6")</f>
        <v>L6</v>
      </c>
      <c r="D12" s="4">
        <v>4.230142457069E12</v>
      </c>
      <c r="E12" s="4" t="s">
        <v>144</v>
      </c>
      <c r="F12" s="4" t="s">
        <v>45</v>
      </c>
      <c r="G12" s="4" t="s">
        <v>145</v>
      </c>
      <c r="H12" s="4" t="s">
        <v>144</v>
      </c>
      <c r="I12" s="4" t="s">
        <v>146</v>
      </c>
      <c r="J12" s="4" t="s">
        <v>33</v>
      </c>
      <c r="K12" s="4" t="s">
        <v>147</v>
      </c>
      <c r="L12" s="6">
        <v>46964.0</v>
      </c>
      <c r="M12" s="4">
        <v>4.230142457069E12</v>
      </c>
      <c r="N12" s="6">
        <v>33505.0</v>
      </c>
      <c r="O12" s="4" t="s">
        <v>148</v>
      </c>
      <c r="P12" s="4" t="s">
        <v>149</v>
      </c>
      <c r="Q12" s="4" t="s">
        <v>119</v>
      </c>
      <c r="R12" s="7" t="s">
        <v>150</v>
      </c>
      <c r="S12" s="7" t="s">
        <v>150</v>
      </c>
      <c r="V12" s="4" t="s">
        <v>151</v>
      </c>
      <c r="W12" s="4">
        <v>4.230123890751E12</v>
      </c>
      <c r="X12" s="4" t="s">
        <v>79</v>
      </c>
      <c r="Y12" s="7" t="s">
        <v>152</v>
      </c>
      <c r="Z12" s="4" t="s">
        <v>153</v>
      </c>
      <c r="AA12" s="4" t="s">
        <v>144</v>
      </c>
      <c r="AB12" s="8"/>
    </row>
    <row r="13" ht="22.5" customHeight="1">
      <c r="A13" s="3">
        <v>46192.668124918986</v>
      </c>
      <c r="B13" s="4">
        <v>2.0</v>
      </c>
      <c r="C13" s="5" t="str">
        <f>IFERROR(__xludf.DUMMYFUNCTION("""COMPUTED_VALUE"""),"L5")</f>
        <v>L5</v>
      </c>
      <c r="D13" s="4" t="s">
        <v>125</v>
      </c>
      <c r="E13" s="4" t="s">
        <v>126</v>
      </c>
      <c r="F13" s="4" t="s">
        <v>45</v>
      </c>
      <c r="G13" s="4" t="s">
        <v>127</v>
      </c>
      <c r="H13" s="4" t="s">
        <v>135</v>
      </c>
      <c r="I13" s="4" t="s">
        <v>154</v>
      </c>
      <c r="J13" s="4" t="s">
        <v>33</v>
      </c>
      <c r="K13" s="4" t="s">
        <v>155</v>
      </c>
      <c r="L13" s="6">
        <v>48995.0</v>
      </c>
      <c r="M13" s="4" t="s">
        <v>125</v>
      </c>
      <c r="N13" s="6">
        <v>33155.0</v>
      </c>
      <c r="O13" s="4" t="s">
        <v>35</v>
      </c>
      <c r="P13" s="4" t="s">
        <v>156</v>
      </c>
      <c r="Q13" s="4" t="s">
        <v>133</v>
      </c>
      <c r="R13" s="4" t="s">
        <v>134</v>
      </c>
      <c r="S13" s="4" t="s">
        <v>134</v>
      </c>
      <c r="U13" s="4" t="s">
        <v>103</v>
      </c>
      <c r="V13" s="4" t="s">
        <v>137</v>
      </c>
      <c r="W13" s="4" t="s">
        <v>138</v>
      </c>
      <c r="X13" s="4" t="s">
        <v>157</v>
      </c>
      <c r="Y13" s="4" t="s">
        <v>140</v>
      </c>
      <c r="Z13" s="4" t="s">
        <v>141</v>
      </c>
      <c r="AA13" s="4" t="s">
        <v>142</v>
      </c>
      <c r="AB13" s="8"/>
    </row>
    <row r="14" ht="22.5" customHeight="1">
      <c r="A14" s="3">
        <v>46192.675036967594</v>
      </c>
      <c r="B14" s="4" t="s">
        <v>143</v>
      </c>
      <c r="C14" s="5" t="str">
        <f>IFERROR(__xludf.DUMMYFUNCTION("""COMPUTED_VALUE"""),"L6")</f>
        <v>L6</v>
      </c>
      <c r="D14" s="4">
        <v>4.230142457069E12</v>
      </c>
      <c r="E14" s="4" t="s">
        <v>144</v>
      </c>
      <c r="F14" s="4" t="s">
        <v>45</v>
      </c>
      <c r="G14" s="4" t="s">
        <v>145</v>
      </c>
      <c r="H14" s="4" t="s">
        <v>158</v>
      </c>
      <c r="I14" s="4" t="s">
        <v>144</v>
      </c>
      <c r="J14" s="4" t="s">
        <v>60</v>
      </c>
      <c r="K14" s="4" t="s">
        <v>159</v>
      </c>
      <c r="L14" s="6">
        <v>46991.0</v>
      </c>
      <c r="M14" s="4">
        <v>4.230143427102E12</v>
      </c>
      <c r="N14" s="6">
        <v>33421.0</v>
      </c>
      <c r="O14" s="4" t="s">
        <v>160</v>
      </c>
      <c r="P14" s="4" t="s">
        <v>161</v>
      </c>
      <c r="Q14" s="4" t="s">
        <v>119</v>
      </c>
      <c r="R14" s="7" t="s">
        <v>150</v>
      </c>
      <c r="S14" s="7" t="s">
        <v>150</v>
      </c>
      <c r="T14" s="4" t="s">
        <v>144</v>
      </c>
      <c r="U14" s="4" t="s">
        <v>65</v>
      </c>
      <c r="V14" s="4" t="s">
        <v>162</v>
      </c>
      <c r="W14" s="4">
        <v>2.430123890751E12</v>
      </c>
      <c r="X14" s="4" t="s">
        <v>163</v>
      </c>
      <c r="Y14" s="7" t="s">
        <v>152</v>
      </c>
      <c r="Z14" s="4" t="s">
        <v>164</v>
      </c>
      <c r="AA14" s="4" t="s">
        <v>144</v>
      </c>
      <c r="AB14" s="8"/>
    </row>
    <row r="15" ht="22.5" customHeight="1">
      <c r="A15" s="3">
        <v>46192.68942483796</v>
      </c>
      <c r="B15" s="4">
        <v>2.0</v>
      </c>
      <c r="C15" s="5" t="str">
        <f>IFERROR(__xludf.DUMMYFUNCTION("""COMPUTED_VALUE"""),"L4")</f>
        <v>L4</v>
      </c>
      <c r="D15" s="4">
        <v>4.230189819063E12</v>
      </c>
      <c r="E15" s="4" t="s">
        <v>115</v>
      </c>
      <c r="F15" s="4" t="s">
        <v>45</v>
      </c>
      <c r="G15" s="4" t="s">
        <v>165</v>
      </c>
      <c r="H15" s="4" t="s">
        <v>121</v>
      </c>
      <c r="I15" s="4" t="s">
        <v>165</v>
      </c>
      <c r="J15" s="4" t="s">
        <v>60</v>
      </c>
      <c r="K15" s="4" t="s">
        <v>166</v>
      </c>
      <c r="L15" s="6">
        <v>49674.0</v>
      </c>
      <c r="M15" s="4">
        <v>4.23010797069E11</v>
      </c>
      <c r="N15" s="6">
        <v>27269.0</v>
      </c>
      <c r="O15" s="4" t="s">
        <v>117</v>
      </c>
      <c r="P15" s="4" t="s">
        <v>167</v>
      </c>
      <c r="Q15" s="4" t="s">
        <v>37</v>
      </c>
      <c r="R15" s="7" t="s">
        <v>123</v>
      </c>
      <c r="S15" s="7" t="s">
        <v>123</v>
      </c>
      <c r="T15" s="4" t="s">
        <v>115</v>
      </c>
      <c r="U15" s="4" t="s">
        <v>87</v>
      </c>
      <c r="V15" s="4" t="s">
        <v>168</v>
      </c>
      <c r="W15" s="4">
        <v>4.230108728277E12</v>
      </c>
      <c r="X15" s="4" t="s">
        <v>87</v>
      </c>
      <c r="Y15" s="7" t="s">
        <v>169</v>
      </c>
      <c r="Z15" s="4" t="s">
        <v>170</v>
      </c>
      <c r="AA15" s="4" t="s">
        <v>113</v>
      </c>
      <c r="AB15" s="8"/>
    </row>
    <row r="16" ht="22.5" customHeight="1">
      <c r="A16" s="3">
        <v>46192.69167545139</v>
      </c>
      <c r="B16" s="4">
        <v>5.0</v>
      </c>
      <c r="C16" s="5" t="str">
        <f>IFERROR(__xludf.DUMMYFUNCTION("""COMPUTED_VALUE"""),"L7")</f>
        <v>L7</v>
      </c>
      <c r="D16" s="4" t="s">
        <v>171</v>
      </c>
      <c r="E16" s="4" t="s">
        <v>172</v>
      </c>
      <c r="F16" s="4" t="s">
        <v>45</v>
      </c>
      <c r="G16" s="4" t="s">
        <v>173</v>
      </c>
      <c r="H16" s="4" t="s">
        <v>174</v>
      </c>
      <c r="I16" s="4" t="s">
        <v>175</v>
      </c>
      <c r="J16" s="4" t="s">
        <v>33</v>
      </c>
      <c r="K16" s="4" t="s">
        <v>176</v>
      </c>
      <c r="L16" s="6">
        <v>48708.0</v>
      </c>
      <c r="M16" s="4" t="s">
        <v>171</v>
      </c>
      <c r="N16" s="6">
        <v>34657.0</v>
      </c>
      <c r="O16" s="4" t="s">
        <v>177</v>
      </c>
      <c r="P16" s="4" t="s">
        <v>178</v>
      </c>
      <c r="Q16" s="4" t="s">
        <v>37</v>
      </c>
      <c r="R16" s="7" t="s">
        <v>179</v>
      </c>
      <c r="S16" s="7" t="s">
        <v>179</v>
      </c>
      <c r="V16" s="4" t="s">
        <v>180</v>
      </c>
      <c r="W16" s="4" t="s">
        <v>181</v>
      </c>
      <c r="X16" s="4" t="s">
        <v>40</v>
      </c>
      <c r="Y16" s="7" t="s">
        <v>182</v>
      </c>
      <c r="Z16" s="4" t="s">
        <v>183</v>
      </c>
      <c r="AA16" s="4" t="s">
        <v>184</v>
      </c>
      <c r="AB16" s="8"/>
    </row>
    <row r="17" ht="22.5" customHeight="1">
      <c r="A17" s="3">
        <v>46192.699893067125</v>
      </c>
      <c r="B17" s="4">
        <v>5.0</v>
      </c>
      <c r="C17" s="5" t="str">
        <f>IFERROR(__xludf.DUMMYFUNCTION("""COMPUTED_VALUE"""),"L7")</f>
        <v>L7</v>
      </c>
      <c r="D17" s="4" t="s">
        <v>171</v>
      </c>
      <c r="E17" s="4" t="s">
        <v>174</v>
      </c>
      <c r="F17" s="4" t="s">
        <v>45</v>
      </c>
      <c r="G17" s="4" t="s">
        <v>185</v>
      </c>
      <c r="H17" s="4" t="s">
        <v>186</v>
      </c>
      <c r="I17" s="4" t="s">
        <v>187</v>
      </c>
      <c r="J17" s="4" t="s">
        <v>60</v>
      </c>
      <c r="K17" s="4" t="s">
        <v>188</v>
      </c>
      <c r="L17" s="6">
        <v>46806.0</v>
      </c>
      <c r="M17" s="4" t="s">
        <v>189</v>
      </c>
      <c r="N17" s="6">
        <v>37474.0</v>
      </c>
      <c r="O17" s="4" t="s">
        <v>190</v>
      </c>
      <c r="P17" s="4" t="s">
        <v>191</v>
      </c>
      <c r="Q17" s="4" t="s">
        <v>37</v>
      </c>
      <c r="R17" s="7" t="s">
        <v>192</v>
      </c>
      <c r="S17" s="7" t="s">
        <v>192</v>
      </c>
      <c r="T17" s="4" t="s">
        <v>185</v>
      </c>
      <c r="U17" s="4" t="s">
        <v>193</v>
      </c>
      <c r="V17" s="4" t="s">
        <v>175</v>
      </c>
      <c r="W17" s="4" t="s">
        <v>181</v>
      </c>
      <c r="X17" s="4" t="s">
        <v>194</v>
      </c>
      <c r="Y17" s="7" t="s">
        <v>182</v>
      </c>
      <c r="Z17" s="4" t="s">
        <v>183</v>
      </c>
      <c r="AA17" s="4" t="s">
        <v>195</v>
      </c>
      <c r="AB17" s="8"/>
    </row>
    <row r="18" ht="22.5" customHeight="1">
      <c r="A18" s="3">
        <v>46192.70352974537</v>
      </c>
      <c r="B18" s="4">
        <v>3.0</v>
      </c>
      <c r="C18" s="5" t="str">
        <f>IFERROR(__xludf.DUMMYFUNCTION("""COMPUTED_VALUE"""),"S2")</f>
        <v>S2</v>
      </c>
      <c r="D18" s="4" t="s">
        <v>196</v>
      </c>
      <c r="E18" s="4" t="s">
        <v>197</v>
      </c>
      <c r="F18" s="4" t="s">
        <v>29</v>
      </c>
      <c r="G18" s="4" t="s">
        <v>198</v>
      </c>
      <c r="H18" s="4" t="s">
        <v>197</v>
      </c>
      <c r="I18" s="4" t="s">
        <v>72</v>
      </c>
      <c r="J18" s="4" t="s">
        <v>33</v>
      </c>
      <c r="K18" s="4" t="s">
        <v>199</v>
      </c>
      <c r="L18" s="6">
        <v>47281.0</v>
      </c>
      <c r="M18" s="4" t="s">
        <v>196</v>
      </c>
      <c r="N18" s="6">
        <v>35400.0</v>
      </c>
      <c r="O18" s="4" t="s">
        <v>148</v>
      </c>
      <c r="P18" s="4" t="s">
        <v>200</v>
      </c>
      <c r="Q18" s="4" t="s">
        <v>37</v>
      </c>
      <c r="R18" s="4" t="s">
        <v>201</v>
      </c>
      <c r="S18" s="4" t="s">
        <v>201</v>
      </c>
      <c r="V18" s="4" t="s">
        <v>72</v>
      </c>
      <c r="W18" s="4" t="s">
        <v>202</v>
      </c>
      <c r="X18" s="4" t="s">
        <v>72</v>
      </c>
      <c r="Y18" s="4" t="s">
        <v>203</v>
      </c>
    </row>
    <row r="19" ht="22.5" customHeight="1">
      <c r="A19" s="3">
        <v>46192.70540115741</v>
      </c>
      <c r="B19" s="4">
        <v>5.0</v>
      </c>
      <c r="C19" s="5" t="str">
        <f>IFERROR(__xludf.DUMMYFUNCTION("""COMPUTED_VALUE"""),"L7")</f>
        <v>L7</v>
      </c>
      <c r="D19" s="4" t="s">
        <v>171</v>
      </c>
      <c r="E19" s="4" t="s">
        <v>174</v>
      </c>
      <c r="F19" s="4" t="s">
        <v>45</v>
      </c>
      <c r="G19" s="4" t="s">
        <v>172</v>
      </c>
      <c r="H19" s="4" t="s">
        <v>204</v>
      </c>
      <c r="I19" s="4" t="s">
        <v>172</v>
      </c>
      <c r="J19" s="4" t="s">
        <v>60</v>
      </c>
      <c r="K19" s="4" t="s">
        <v>205</v>
      </c>
      <c r="L19" s="6">
        <v>48708.0</v>
      </c>
      <c r="M19" s="4" t="s">
        <v>206</v>
      </c>
      <c r="N19" s="6">
        <v>36606.0</v>
      </c>
      <c r="O19" s="4" t="s">
        <v>177</v>
      </c>
      <c r="P19" s="4" t="s">
        <v>178</v>
      </c>
      <c r="Q19" s="4" t="s">
        <v>52</v>
      </c>
      <c r="R19" s="7" t="s">
        <v>207</v>
      </c>
      <c r="S19" s="7" t="s">
        <v>207</v>
      </c>
      <c r="T19" s="4" t="s">
        <v>174</v>
      </c>
      <c r="U19" s="4" t="s">
        <v>193</v>
      </c>
      <c r="V19" s="4" t="s">
        <v>175</v>
      </c>
      <c r="W19" s="4" t="s">
        <v>208</v>
      </c>
      <c r="X19" s="4" t="s">
        <v>209</v>
      </c>
      <c r="Y19" s="7" t="s">
        <v>182</v>
      </c>
      <c r="Z19" s="4" t="s">
        <v>183</v>
      </c>
      <c r="AA19" s="4" t="s">
        <v>184</v>
      </c>
      <c r="AB19" s="8"/>
    </row>
    <row r="20" ht="22.5" customHeight="1">
      <c r="A20" s="3">
        <v>46192.710769108795</v>
      </c>
      <c r="B20" s="4">
        <v>5.0</v>
      </c>
      <c r="C20" s="5" t="str">
        <f>IFERROR(__xludf.DUMMYFUNCTION("""COMPUTED_VALUE"""),"L7")</f>
        <v>L7</v>
      </c>
      <c r="D20" s="4" t="s">
        <v>171</v>
      </c>
      <c r="E20" s="4" t="s">
        <v>174</v>
      </c>
      <c r="F20" s="4" t="s">
        <v>45</v>
      </c>
      <c r="G20" s="4" t="s">
        <v>175</v>
      </c>
      <c r="H20" s="4" t="s">
        <v>210</v>
      </c>
      <c r="I20" s="4" t="s">
        <v>173</v>
      </c>
      <c r="J20" s="4" t="s">
        <v>60</v>
      </c>
      <c r="K20" s="4" t="s">
        <v>211</v>
      </c>
      <c r="L20" s="6">
        <v>49579.0</v>
      </c>
      <c r="M20" s="4" t="s">
        <v>212</v>
      </c>
      <c r="N20" s="6">
        <v>26121.0</v>
      </c>
      <c r="O20" s="4" t="s">
        <v>177</v>
      </c>
      <c r="P20" s="4" t="s">
        <v>191</v>
      </c>
      <c r="Q20" s="4" t="s">
        <v>37</v>
      </c>
      <c r="R20" s="7" t="s">
        <v>213</v>
      </c>
      <c r="S20" s="7" t="s">
        <v>213</v>
      </c>
      <c r="T20" s="4" t="s">
        <v>175</v>
      </c>
      <c r="U20" s="4" t="s">
        <v>193</v>
      </c>
      <c r="V20" s="4" t="s">
        <v>175</v>
      </c>
      <c r="W20" s="4" t="s">
        <v>181</v>
      </c>
      <c r="X20" s="4" t="s">
        <v>193</v>
      </c>
      <c r="Y20" s="7" t="s">
        <v>182</v>
      </c>
      <c r="Z20" s="4" t="s">
        <v>183</v>
      </c>
      <c r="AA20" s="4" t="s">
        <v>195</v>
      </c>
      <c r="AB20" s="8"/>
    </row>
    <row r="21" ht="22.5" customHeight="1">
      <c r="A21" s="3">
        <v>46192.71399387732</v>
      </c>
      <c r="B21" s="4">
        <v>10.0</v>
      </c>
      <c r="C21" s="5" t="str">
        <f>IFERROR(__xludf.DUMMYFUNCTION("""COMPUTED_VALUE"""),"S3")</f>
        <v>S3</v>
      </c>
      <c r="D21" s="4">
        <v>4.220198309485E12</v>
      </c>
      <c r="E21" s="4" t="s">
        <v>214</v>
      </c>
      <c r="F21" s="4" t="s">
        <v>29</v>
      </c>
      <c r="G21" s="4" t="s">
        <v>215</v>
      </c>
      <c r="H21" s="4" t="s">
        <v>31</v>
      </c>
      <c r="I21" s="4" t="s">
        <v>144</v>
      </c>
      <c r="J21" s="4" t="s">
        <v>33</v>
      </c>
      <c r="K21" s="4" t="s">
        <v>216</v>
      </c>
      <c r="L21" s="6">
        <v>48168.0</v>
      </c>
      <c r="M21" s="4">
        <v>4.220198309485E12</v>
      </c>
      <c r="N21" s="6">
        <v>36809.0</v>
      </c>
      <c r="O21" s="4" t="s">
        <v>35</v>
      </c>
      <c r="P21" s="4" t="s">
        <v>217</v>
      </c>
      <c r="Q21" s="4" t="s">
        <v>37</v>
      </c>
      <c r="R21" s="7" t="s">
        <v>218</v>
      </c>
      <c r="S21" s="7" t="s">
        <v>218</v>
      </c>
      <c r="V21" s="4" t="s">
        <v>219</v>
      </c>
      <c r="W21" s="4">
        <v>4.200005582063E12</v>
      </c>
      <c r="X21" s="4" t="s">
        <v>220</v>
      </c>
      <c r="Y21" s="7" t="s">
        <v>221</v>
      </c>
      <c r="Z21" s="4" t="s">
        <v>222</v>
      </c>
      <c r="AA21" s="4" t="s">
        <v>214</v>
      </c>
      <c r="AB21" s="8"/>
    </row>
    <row r="22" ht="22.5" customHeight="1">
      <c r="A22" s="3">
        <v>46192.71469474537</v>
      </c>
      <c r="B22" s="4">
        <v>5.0</v>
      </c>
      <c r="C22" s="5" t="str">
        <f>IFERROR(__xludf.DUMMYFUNCTION("""COMPUTED_VALUE"""),"L7")</f>
        <v>L7</v>
      </c>
      <c r="D22" s="4" t="s">
        <v>171</v>
      </c>
      <c r="E22" s="4" t="s">
        <v>172</v>
      </c>
      <c r="F22" s="4" t="s">
        <v>45</v>
      </c>
      <c r="G22" s="4" t="s">
        <v>173</v>
      </c>
      <c r="H22" s="4" t="s">
        <v>185</v>
      </c>
      <c r="I22" s="4" t="s">
        <v>173</v>
      </c>
      <c r="J22" s="4" t="s">
        <v>33</v>
      </c>
      <c r="K22" s="4" t="s">
        <v>223</v>
      </c>
      <c r="L22" s="6">
        <v>48652.0</v>
      </c>
      <c r="M22" s="4" t="s">
        <v>224</v>
      </c>
      <c r="N22" s="6">
        <v>34136.0</v>
      </c>
      <c r="O22" s="4" t="s">
        <v>177</v>
      </c>
      <c r="P22" s="4" t="s">
        <v>191</v>
      </c>
      <c r="Q22" s="4" t="s">
        <v>37</v>
      </c>
      <c r="R22" s="7" t="s">
        <v>225</v>
      </c>
      <c r="S22" s="7" t="s">
        <v>225</v>
      </c>
      <c r="V22" s="4" t="s">
        <v>175</v>
      </c>
      <c r="W22" s="4" t="s">
        <v>181</v>
      </c>
      <c r="X22" s="4" t="s">
        <v>40</v>
      </c>
      <c r="Y22" s="7" t="s">
        <v>182</v>
      </c>
      <c r="Z22" s="4" t="s">
        <v>183</v>
      </c>
      <c r="AA22" s="4" t="s">
        <v>226</v>
      </c>
      <c r="AB22" s="8"/>
    </row>
    <row r="23" ht="22.5" customHeight="1">
      <c r="A23" s="3">
        <v>46192.71665479167</v>
      </c>
      <c r="B23" s="4">
        <v>10.0</v>
      </c>
      <c r="C23" s="5" t="str">
        <f>IFERROR(__xludf.DUMMYFUNCTION("""COMPUTED_VALUE"""),"S3")</f>
        <v>S3</v>
      </c>
      <c r="D23" s="4">
        <v>4.220198309485E12</v>
      </c>
      <c r="E23" s="4" t="s">
        <v>214</v>
      </c>
      <c r="F23" s="4" t="s">
        <v>29</v>
      </c>
      <c r="G23" s="4" t="s">
        <v>227</v>
      </c>
      <c r="H23" s="4" t="s">
        <v>228</v>
      </c>
      <c r="I23" s="4" t="s">
        <v>229</v>
      </c>
      <c r="J23" s="4" t="s">
        <v>33</v>
      </c>
      <c r="K23" s="4" t="s">
        <v>230</v>
      </c>
      <c r="L23" s="6">
        <v>48778.0</v>
      </c>
      <c r="M23" s="4">
        <v>4.220107213313E12</v>
      </c>
      <c r="N23" s="6">
        <v>23365.0</v>
      </c>
      <c r="O23" s="4" t="s">
        <v>148</v>
      </c>
      <c r="P23" s="4" t="s">
        <v>217</v>
      </c>
      <c r="Q23" s="4" t="s">
        <v>37</v>
      </c>
      <c r="R23" s="7" t="s">
        <v>231</v>
      </c>
      <c r="S23" s="7" t="s">
        <v>231</v>
      </c>
      <c r="V23" s="4" t="s">
        <v>219</v>
      </c>
      <c r="W23" s="4">
        <v>4.200005582063E12</v>
      </c>
      <c r="X23" s="4" t="s">
        <v>232</v>
      </c>
      <c r="Y23" s="7" t="s">
        <v>221</v>
      </c>
      <c r="Z23" s="4" t="s">
        <v>222</v>
      </c>
      <c r="AA23" s="4" t="s">
        <v>214</v>
      </c>
      <c r="AB23" s="8"/>
    </row>
    <row r="24" ht="22.5" customHeight="1">
      <c r="A24" s="3">
        <v>46192.71921001158</v>
      </c>
      <c r="B24" s="4">
        <v>10.0</v>
      </c>
      <c r="C24" s="5" t="str">
        <f>IFERROR(__xludf.DUMMYFUNCTION("""COMPUTED_VALUE"""),"S3")</f>
        <v>S3</v>
      </c>
      <c r="D24" s="4">
        <v>4.220198309485E12</v>
      </c>
      <c r="E24" s="4" t="s">
        <v>214</v>
      </c>
      <c r="F24" s="4" t="s">
        <v>29</v>
      </c>
      <c r="G24" s="4" t="s">
        <v>227</v>
      </c>
      <c r="H24" s="4" t="s">
        <v>233</v>
      </c>
      <c r="I24" s="4" t="s">
        <v>144</v>
      </c>
      <c r="J24" s="4" t="s">
        <v>60</v>
      </c>
      <c r="K24" s="4" t="s">
        <v>234</v>
      </c>
      <c r="L24" s="6">
        <v>48875.0</v>
      </c>
      <c r="M24" s="4">
        <v>4.220106129452E12</v>
      </c>
      <c r="N24" s="6">
        <v>25598.0</v>
      </c>
      <c r="O24" s="4" t="s">
        <v>35</v>
      </c>
      <c r="P24" s="4" t="s">
        <v>217</v>
      </c>
      <c r="Q24" s="4" t="s">
        <v>37</v>
      </c>
      <c r="R24" s="7" t="s">
        <v>235</v>
      </c>
      <c r="S24" s="7" t="s">
        <v>235</v>
      </c>
      <c r="T24" s="4" t="s">
        <v>236</v>
      </c>
      <c r="U24" s="4" t="s">
        <v>65</v>
      </c>
      <c r="V24" s="4" t="s">
        <v>219</v>
      </c>
      <c r="W24" s="4">
        <v>4.200005582063E12</v>
      </c>
      <c r="X24" s="4" t="s">
        <v>79</v>
      </c>
      <c r="Y24" s="7" t="s">
        <v>221</v>
      </c>
      <c r="Z24" s="4" t="s">
        <v>222</v>
      </c>
      <c r="AA24" s="4" t="s">
        <v>214</v>
      </c>
      <c r="AB24" s="8"/>
    </row>
    <row r="25" ht="22.5" customHeight="1">
      <c r="A25" s="3">
        <v>46192.71968189815</v>
      </c>
      <c r="B25" s="4">
        <v>5.0</v>
      </c>
      <c r="C25" s="5" t="str">
        <f>IFERROR(__xludf.DUMMYFUNCTION("""COMPUTED_VALUE"""),"L7")</f>
        <v>L7</v>
      </c>
      <c r="D25" s="4" t="s">
        <v>171</v>
      </c>
      <c r="E25" s="4" t="s">
        <v>172</v>
      </c>
      <c r="F25" s="4" t="s">
        <v>45</v>
      </c>
      <c r="G25" s="4" t="s">
        <v>174</v>
      </c>
      <c r="H25" s="4" t="s">
        <v>237</v>
      </c>
      <c r="I25" s="4" t="s">
        <v>174</v>
      </c>
      <c r="J25" s="4" t="s">
        <v>60</v>
      </c>
      <c r="K25" s="4" t="s">
        <v>205</v>
      </c>
      <c r="M25" s="4" t="s">
        <v>206</v>
      </c>
      <c r="N25" s="6">
        <v>36606.0</v>
      </c>
      <c r="O25" s="4" t="s">
        <v>177</v>
      </c>
      <c r="P25" s="4" t="s">
        <v>191</v>
      </c>
      <c r="Q25" s="4" t="s">
        <v>52</v>
      </c>
      <c r="R25" s="7" t="s">
        <v>207</v>
      </c>
      <c r="S25" s="7" t="s">
        <v>207</v>
      </c>
      <c r="T25" s="4" t="s">
        <v>174</v>
      </c>
      <c r="U25" s="4" t="s">
        <v>193</v>
      </c>
      <c r="V25" s="4" t="s">
        <v>175</v>
      </c>
      <c r="W25" s="4" t="s">
        <v>181</v>
      </c>
      <c r="X25" s="4" t="s">
        <v>194</v>
      </c>
      <c r="Y25" s="7" t="s">
        <v>182</v>
      </c>
      <c r="Z25" s="4" t="s">
        <v>183</v>
      </c>
      <c r="AA25" s="4" t="s">
        <v>195</v>
      </c>
      <c r="AB25" s="8"/>
    </row>
    <row r="26" ht="22.5" customHeight="1">
      <c r="A26" s="3">
        <v>46192.724952766206</v>
      </c>
      <c r="B26" s="4">
        <v>10.0</v>
      </c>
      <c r="C26" s="5" t="str">
        <f>IFERROR(__xludf.DUMMYFUNCTION("""COMPUTED_VALUE"""),"S3")</f>
        <v>S3</v>
      </c>
      <c r="D26" s="4">
        <v>4.220198309485E12</v>
      </c>
      <c r="E26" s="4" t="s">
        <v>214</v>
      </c>
      <c r="F26" s="4" t="s">
        <v>29</v>
      </c>
      <c r="G26" s="4" t="s">
        <v>238</v>
      </c>
      <c r="H26" s="4" t="s">
        <v>239</v>
      </c>
      <c r="I26" s="4" t="s">
        <v>240</v>
      </c>
      <c r="J26" s="4" t="s">
        <v>60</v>
      </c>
      <c r="K26" s="4" t="s">
        <v>241</v>
      </c>
      <c r="L26" s="6">
        <v>48875.0</v>
      </c>
      <c r="M26" s="4">
        <v>4.220176063094E12</v>
      </c>
      <c r="N26" s="6">
        <v>35983.0</v>
      </c>
      <c r="O26" s="4" t="s">
        <v>148</v>
      </c>
      <c r="P26" s="4" t="s">
        <v>217</v>
      </c>
      <c r="Q26" s="4" t="s">
        <v>37</v>
      </c>
      <c r="R26" s="7" t="s">
        <v>242</v>
      </c>
      <c r="S26" s="7" t="s">
        <v>242</v>
      </c>
      <c r="T26" s="4" t="s">
        <v>144</v>
      </c>
      <c r="U26" s="4" t="s">
        <v>40</v>
      </c>
      <c r="V26" s="4" t="s">
        <v>219</v>
      </c>
      <c r="W26" s="4">
        <v>4.200005582063E12</v>
      </c>
      <c r="X26" s="4" t="s">
        <v>220</v>
      </c>
      <c r="Y26" s="7" t="s">
        <v>221</v>
      </c>
      <c r="Z26" s="4" t="s">
        <v>222</v>
      </c>
      <c r="AA26" s="4" t="s">
        <v>214</v>
      </c>
      <c r="AB26" s="8"/>
    </row>
    <row r="27" ht="22.5" customHeight="1">
      <c r="A27" s="3">
        <v>46192.725719560185</v>
      </c>
      <c r="B27" s="4">
        <v>5.0</v>
      </c>
      <c r="C27" s="5" t="str">
        <f>IFERROR(__xludf.DUMMYFUNCTION("""COMPUTED_VALUE"""),"L8")</f>
        <v>L8</v>
      </c>
      <c r="D27" s="4" t="s">
        <v>243</v>
      </c>
      <c r="E27" s="4" t="s">
        <v>244</v>
      </c>
      <c r="F27" s="4" t="s">
        <v>45</v>
      </c>
      <c r="G27" s="4" t="s">
        <v>245</v>
      </c>
      <c r="H27" s="4" t="s">
        <v>246</v>
      </c>
      <c r="I27" s="4" t="s">
        <v>247</v>
      </c>
      <c r="J27" s="4" t="s">
        <v>33</v>
      </c>
      <c r="M27" s="4" t="s">
        <v>243</v>
      </c>
      <c r="N27" s="6">
        <v>29125.0</v>
      </c>
      <c r="O27" s="4" t="s">
        <v>248</v>
      </c>
      <c r="P27" s="4" t="s">
        <v>249</v>
      </c>
      <c r="Q27" s="4" t="s">
        <v>119</v>
      </c>
      <c r="R27" s="7" t="s">
        <v>250</v>
      </c>
      <c r="S27" s="7" t="s">
        <v>250</v>
      </c>
      <c r="V27" s="4" t="s">
        <v>251</v>
      </c>
      <c r="W27" s="4" t="s">
        <v>252</v>
      </c>
      <c r="X27" s="4" t="s">
        <v>87</v>
      </c>
      <c r="Y27" s="7" t="s">
        <v>253</v>
      </c>
      <c r="Z27" s="4" t="s">
        <v>254</v>
      </c>
      <c r="AA27" s="4" t="s">
        <v>255</v>
      </c>
      <c r="AB27" s="8"/>
    </row>
    <row r="28" ht="22.5" customHeight="1">
      <c r="A28" s="3">
        <v>46192.7310472338</v>
      </c>
      <c r="B28" s="4">
        <v>10.0</v>
      </c>
      <c r="C28" s="5" t="str">
        <f>IFERROR(__xludf.DUMMYFUNCTION("""COMPUTED_VALUE"""),"S3")</f>
        <v>S3</v>
      </c>
      <c r="D28" s="4">
        <v>4.220198309485E12</v>
      </c>
      <c r="E28" s="4" t="s">
        <v>214</v>
      </c>
      <c r="F28" s="4" t="s">
        <v>29</v>
      </c>
      <c r="G28" s="4" t="s">
        <v>256</v>
      </c>
      <c r="H28" s="4" t="s">
        <v>31</v>
      </c>
      <c r="I28" s="4" t="s">
        <v>257</v>
      </c>
      <c r="J28" s="4" t="s">
        <v>33</v>
      </c>
      <c r="K28" s="4" t="s">
        <v>258</v>
      </c>
      <c r="L28" s="6">
        <v>48743.0</v>
      </c>
      <c r="M28" s="4">
        <v>4.220184940735E12</v>
      </c>
      <c r="N28" s="6">
        <v>23382.0</v>
      </c>
      <c r="O28" s="4" t="s">
        <v>148</v>
      </c>
      <c r="P28" s="4" t="s">
        <v>259</v>
      </c>
      <c r="Q28" s="4" t="s">
        <v>37</v>
      </c>
      <c r="R28" s="7" t="s">
        <v>260</v>
      </c>
      <c r="S28" s="7" t="s">
        <v>261</v>
      </c>
      <c r="V28" s="4" t="s">
        <v>219</v>
      </c>
      <c r="W28" s="4">
        <v>4.200005582063E12</v>
      </c>
      <c r="X28" s="4" t="s">
        <v>232</v>
      </c>
      <c r="Y28" s="7" t="s">
        <v>221</v>
      </c>
      <c r="Z28" s="4" t="s">
        <v>262</v>
      </c>
      <c r="AA28" s="4" t="s">
        <v>263</v>
      </c>
      <c r="AB28" s="8"/>
    </row>
    <row r="29" ht="22.5" customHeight="1">
      <c r="A29" s="3">
        <v>46192.73117886574</v>
      </c>
      <c r="B29" s="4">
        <v>5.0</v>
      </c>
      <c r="C29" s="5" t="str">
        <f>IFERROR(__xludf.DUMMYFUNCTION("""COMPUTED_VALUE"""),"L8")</f>
        <v>L8</v>
      </c>
      <c r="D29" s="4" t="s">
        <v>243</v>
      </c>
      <c r="E29" s="4" t="s">
        <v>244</v>
      </c>
      <c r="F29" s="4" t="s">
        <v>45</v>
      </c>
      <c r="G29" s="4" t="s">
        <v>245</v>
      </c>
      <c r="H29" s="4" t="s">
        <v>264</v>
      </c>
      <c r="I29" s="4" t="s">
        <v>246</v>
      </c>
      <c r="J29" s="4" t="s">
        <v>60</v>
      </c>
      <c r="K29" s="4" t="s">
        <v>265</v>
      </c>
      <c r="L29" s="6">
        <v>47103.0</v>
      </c>
      <c r="M29" s="4" t="s">
        <v>266</v>
      </c>
      <c r="N29" s="6">
        <v>31466.0</v>
      </c>
      <c r="O29" s="4" t="s">
        <v>248</v>
      </c>
      <c r="P29" s="4" t="s">
        <v>267</v>
      </c>
      <c r="Q29" s="4" t="s">
        <v>119</v>
      </c>
      <c r="R29" s="7" t="s">
        <v>268</v>
      </c>
      <c r="S29" s="7" t="s">
        <v>269</v>
      </c>
      <c r="T29" s="4" t="s">
        <v>246</v>
      </c>
      <c r="U29" s="4" t="s">
        <v>270</v>
      </c>
      <c r="V29" s="4" t="s">
        <v>271</v>
      </c>
      <c r="W29" s="4" t="s">
        <v>252</v>
      </c>
      <c r="X29" s="4" t="s">
        <v>272</v>
      </c>
      <c r="Y29" s="7" t="s">
        <v>253</v>
      </c>
      <c r="Z29" s="4" t="s">
        <v>254</v>
      </c>
      <c r="AA29" s="4" t="s">
        <v>255</v>
      </c>
      <c r="AB29" s="8"/>
    </row>
    <row r="30" ht="22.5" customHeight="1">
      <c r="A30" s="3">
        <v>46192.73368125</v>
      </c>
      <c r="B30" s="4">
        <v>10.0</v>
      </c>
      <c r="C30" s="5" t="str">
        <f>IFERROR(__xludf.DUMMYFUNCTION("""COMPUTED_VALUE"""),"S3")</f>
        <v>S3</v>
      </c>
      <c r="D30" s="4">
        <v>4.220198309485E12</v>
      </c>
      <c r="E30" s="4" t="s">
        <v>214</v>
      </c>
      <c r="F30" s="4" t="s">
        <v>29</v>
      </c>
      <c r="G30" s="4" t="s">
        <v>256</v>
      </c>
      <c r="H30" s="4" t="s">
        <v>273</v>
      </c>
      <c r="I30" s="4" t="s">
        <v>274</v>
      </c>
      <c r="J30" s="4" t="s">
        <v>60</v>
      </c>
      <c r="K30" s="4" t="s">
        <v>275</v>
      </c>
      <c r="L30" s="6">
        <v>49225.0</v>
      </c>
      <c r="M30" s="4">
        <v>4.220118591684E12</v>
      </c>
      <c r="N30" s="6">
        <v>25599.0</v>
      </c>
      <c r="O30" s="4" t="s">
        <v>35</v>
      </c>
      <c r="P30" s="4" t="s">
        <v>259</v>
      </c>
      <c r="Q30" s="4" t="s">
        <v>37</v>
      </c>
      <c r="R30" s="7" t="s">
        <v>276</v>
      </c>
      <c r="S30" s="7" t="s">
        <v>276</v>
      </c>
      <c r="T30" s="4" t="s">
        <v>274</v>
      </c>
      <c r="U30" s="4" t="s">
        <v>65</v>
      </c>
      <c r="V30" s="4" t="s">
        <v>219</v>
      </c>
      <c r="W30" s="4">
        <v>4.200005582063E12</v>
      </c>
      <c r="X30" s="4" t="s">
        <v>79</v>
      </c>
      <c r="Y30" s="7" t="s">
        <v>221</v>
      </c>
      <c r="Z30" s="4" t="s">
        <v>262</v>
      </c>
      <c r="AA30" s="4" t="s">
        <v>263</v>
      </c>
      <c r="AB30" s="8"/>
    </row>
    <row r="31" ht="22.5" customHeight="1">
      <c r="A31" s="3">
        <v>46192.735695173615</v>
      </c>
      <c r="B31" s="4">
        <v>5.0</v>
      </c>
      <c r="C31" s="5" t="str">
        <f>IFERROR(__xludf.DUMMYFUNCTION("""COMPUTED_VALUE"""),"L8")</f>
        <v>L8</v>
      </c>
      <c r="D31" s="4" t="s">
        <v>243</v>
      </c>
      <c r="E31" s="4" t="s">
        <v>246</v>
      </c>
      <c r="F31" s="4" t="s">
        <v>45</v>
      </c>
      <c r="G31" s="4" t="s">
        <v>245</v>
      </c>
      <c r="H31" s="4" t="s">
        <v>277</v>
      </c>
      <c r="I31" s="4" t="s">
        <v>246</v>
      </c>
      <c r="J31" s="4" t="s">
        <v>60</v>
      </c>
      <c r="K31" s="4" t="s">
        <v>278</v>
      </c>
      <c r="L31" s="6">
        <v>47103.0</v>
      </c>
      <c r="M31" s="4" t="s">
        <v>279</v>
      </c>
      <c r="N31" s="6">
        <v>38519.0</v>
      </c>
      <c r="O31" s="4" t="s">
        <v>248</v>
      </c>
      <c r="P31" s="4" t="s">
        <v>280</v>
      </c>
      <c r="Q31" s="4" t="s">
        <v>37</v>
      </c>
      <c r="R31" s="7" t="s">
        <v>281</v>
      </c>
      <c r="S31" s="7" t="s">
        <v>281</v>
      </c>
      <c r="T31" s="4" t="s">
        <v>246</v>
      </c>
      <c r="U31" s="4" t="s">
        <v>282</v>
      </c>
      <c r="V31" s="4" t="s">
        <v>255</v>
      </c>
      <c r="W31" s="4" t="s">
        <v>252</v>
      </c>
      <c r="X31" s="4" t="s">
        <v>79</v>
      </c>
      <c r="Y31" s="7" t="s">
        <v>253</v>
      </c>
      <c r="Z31" s="4" t="s">
        <v>254</v>
      </c>
      <c r="AA31" s="4" t="s">
        <v>255</v>
      </c>
      <c r="AB31" s="8"/>
    </row>
    <row r="32" ht="22.5" customHeight="1">
      <c r="A32" s="3">
        <v>46192.73639476852</v>
      </c>
      <c r="B32" s="4">
        <v>10.0</v>
      </c>
      <c r="C32" s="5" t="str">
        <f>IFERROR(__xludf.DUMMYFUNCTION("""COMPUTED_VALUE"""),"S3")</f>
        <v>S3</v>
      </c>
      <c r="D32" s="4">
        <v>4.220198309485E12</v>
      </c>
      <c r="E32" s="4" t="s">
        <v>214</v>
      </c>
      <c r="F32" s="4" t="s">
        <v>29</v>
      </c>
      <c r="G32" s="4" t="s">
        <v>283</v>
      </c>
      <c r="H32" s="4" t="s">
        <v>31</v>
      </c>
      <c r="I32" s="4" t="s">
        <v>274</v>
      </c>
      <c r="J32" s="4" t="s">
        <v>33</v>
      </c>
      <c r="K32" s="4" t="s">
        <v>284</v>
      </c>
      <c r="L32" s="6">
        <v>47113.0</v>
      </c>
      <c r="M32" s="4">
        <v>4.220164282037E12</v>
      </c>
      <c r="N32" s="6">
        <v>33348.0</v>
      </c>
      <c r="O32" s="4" t="s">
        <v>148</v>
      </c>
      <c r="P32" s="4" t="s">
        <v>259</v>
      </c>
      <c r="Q32" s="4" t="s">
        <v>37</v>
      </c>
      <c r="R32" s="7" t="s">
        <v>285</v>
      </c>
      <c r="S32" s="4" t="s">
        <v>286</v>
      </c>
      <c r="V32" s="4" t="s">
        <v>219</v>
      </c>
      <c r="W32" s="4">
        <v>4.200005582063E12</v>
      </c>
      <c r="X32" s="4" t="s">
        <v>220</v>
      </c>
      <c r="Y32" s="7" t="s">
        <v>221</v>
      </c>
      <c r="Z32" s="4" t="s">
        <v>262</v>
      </c>
      <c r="AA32" s="4" t="s">
        <v>263</v>
      </c>
      <c r="AB32" s="8"/>
    </row>
    <row r="33" ht="22.5" customHeight="1">
      <c r="A33" s="3">
        <v>46192.738864618055</v>
      </c>
      <c r="B33" s="4">
        <v>10.0</v>
      </c>
      <c r="C33" s="5" t="str">
        <f>IFERROR(__xludf.DUMMYFUNCTION("""COMPUTED_VALUE"""),"S3")</f>
        <v>S3</v>
      </c>
      <c r="D33" s="4">
        <v>4.220198309485E12</v>
      </c>
      <c r="E33" s="4" t="s">
        <v>214</v>
      </c>
      <c r="F33" s="4" t="s">
        <v>29</v>
      </c>
      <c r="G33" s="4" t="s">
        <v>283</v>
      </c>
      <c r="H33" s="4" t="s">
        <v>287</v>
      </c>
      <c r="I33" s="4" t="s">
        <v>288</v>
      </c>
      <c r="J33" s="4" t="s">
        <v>60</v>
      </c>
      <c r="K33" s="4" t="s">
        <v>289</v>
      </c>
      <c r="L33" s="6">
        <v>47133.0</v>
      </c>
      <c r="M33" s="4">
        <v>4.220195663488E12</v>
      </c>
      <c r="N33" s="6">
        <v>34660.0</v>
      </c>
      <c r="O33" s="4" t="s">
        <v>160</v>
      </c>
      <c r="P33" s="4" t="s">
        <v>259</v>
      </c>
      <c r="Q33" s="4" t="s">
        <v>37</v>
      </c>
      <c r="R33" s="7" t="s">
        <v>290</v>
      </c>
      <c r="S33" s="7" t="s">
        <v>290</v>
      </c>
      <c r="T33" s="4" t="s">
        <v>288</v>
      </c>
      <c r="U33" s="4" t="s">
        <v>65</v>
      </c>
      <c r="V33" s="4" t="s">
        <v>219</v>
      </c>
      <c r="W33" s="4">
        <v>4.200005582063E12</v>
      </c>
      <c r="X33" s="4" t="s">
        <v>220</v>
      </c>
      <c r="Y33" s="7" t="s">
        <v>221</v>
      </c>
      <c r="Z33" s="4" t="s">
        <v>262</v>
      </c>
      <c r="AA33" s="4" t="s">
        <v>263</v>
      </c>
      <c r="AB33" s="8"/>
    </row>
    <row r="34" ht="22.5" customHeight="1">
      <c r="A34" s="3">
        <v>46192.73903914352</v>
      </c>
      <c r="B34" s="4">
        <v>5.0</v>
      </c>
      <c r="C34" s="5" t="str">
        <f>IFERROR(__xludf.DUMMYFUNCTION("""COMPUTED_VALUE"""),"L8")</f>
        <v>L8</v>
      </c>
      <c r="D34" s="4" t="s">
        <v>243</v>
      </c>
      <c r="E34" s="4" t="s">
        <v>246</v>
      </c>
      <c r="F34" s="4" t="s">
        <v>45</v>
      </c>
      <c r="G34" s="4" t="s">
        <v>126</v>
      </c>
      <c r="H34" s="4" t="s">
        <v>291</v>
      </c>
      <c r="I34" s="4" t="s">
        <v>246</v>
      </c>
      <c r="J34" s="4" t="s">
        <v>33</v>
      </c>
      <c r="K34" s="4" t="s">
        <v>292</v>
      </c>
      <c r="L34" s="6">
        <v>47103.0</v>
      </c>
      <c r="M34" s="4" t="s">
        <v>252</v>
      </c>
      <c r="N34" s="6">
        <v>39335.0</v>
      </c>
      <c r="O34" s="4" t="s">
        <v>248</v>
      </c>
      <c r="P34" s="4" t="s">
        <v>293</v>
      </c>
      <c r="Q34" s="4" t="s">
        <v>37</v>
      </c>
      <c r="R34" s="7" t="s">
        <v>253</v>
      </c>
      <c r="S34" s="7" t="s">
        <v>294</v>
      </c>
      <c r="V34" s="4" t="s">
        <v>246</v>
      </c>
      <c r="W34" s="4">
        <v>4.220103501441E12</v>
      </c>
      <c r="X34" s="4" t="s">
        <v>40</v>
      </c>
      <c r="Y34" s="7" t="s">
        <v>250</v>
      </c>
      <c r="Z34" s="7" t="s">
        <v>295</v>
      </c>
      <c r="AA34" s="4" t="s">
        <v>244</v>
      </c>
      <c r="AB34" s="8"/>
    </row>
    <row r="35" ht="22.5" customHeight="1">
      <c r="A35" s="3">
        <v>46192.740266493056</v>
      </c>
      <c r="B35" s="4">
        <v>10.0</v>
      </c>
      <c r="C35" s="5" t="str">
        <f>IFERROR(__xludf.DUMMYFUNCTION("""COMPUTED_VALUE"""),"S3")</f>
        <v>S3</v>
      </c>
      <c r="D35" s="4">
        <v>4.220198309485E12</v>
      </c>
      <c r="E35" s="4" t="s">
        <v>214</v>
      </c>
      <c r="F35" s="4" t="s">
        <v>29</v>
      </c>
      <c r="G35" s="4" t="s">
        <v>296</v>
      </c>
      <c r="H35" s="4" t="s">
        <v>31</v>
      </c>
      <c r="I35" s="4" t="s">
        <v>274</v>
      </c>
      <c r="J35" s="4" t="s">
        <v>33</v>
      </c>
      <c r="K35" s="4" t="s">
        <v>297</v>
      </c>
      <c r="L35" s="6">
        <v>48066.0</v>
      </c>
      <c r="M35" s="4">
        <v>4.220146389079E12</v>
      </c>
      <c r="N35" s="6">
        <v>34581.0</v>
      </c>
      <c r="O35" s="4" t="s">
        <v>35</v>
      </c>
      <c r="P35" s="4" t="s">
        <v>259</v>
      </c>
      <c r="Q35" s="4" t="s">
        <v>37</v>
      </c>
      <c r="R35" s="7" t="s">
        <v>298</v>
      </c>
      <c r="S35" s="7" t="s">
        <v>298</v>
      </c>
      <c r="V35" s="4" t="s">
        <v>219</v>
      </c>
      <c r="W35" s="4">
        <v>4.200005582063E12</v>
      </c>
      <c r="X35" s="4" t="s">
        <v>220</v>
      </c>
      <c r="Y35" s="7" t="s">
        <v>221</v>
      </c>
      <c r="Z35" s="4" t="s">
        <v>262</v>
      </c>
      <c r="AA35" s="4" t="s">
        <v>263</v>
      </c>
      <c r="AB35" s="8"/>
    </row>
    <row r="36" ht="22.5" customHeight="1">
      <c r="A36" s="3">
        <v>46192.74106920139</v>
      </c>
      <c r="B36" s="4" t="s">
        <v>299</v>
      </c>
      <c r="C36" s="5" t="str">
        <f>IFERROR(__xludf.DUMMYFUNCTION("""COMPUTED_VALUE"""),"S4")</f>
        <v>S4</v>
      </c>
      <c r="D36" s="4" t="s">
        <v>300</v>
      </c>
      <c r="E36" s="4" t="s">
        <v>301</v>
      </c>
      <c r="F36" s="4" t="s">
        <v>29</v>
      </c>
      <c r="G36" s="4" t="s">
        <v>302</v>
      </c>
      <c r="H36" s="4" t="s">
        <v>301</v>
      </c>
      <c r="I36" s="4" t="s">
        <v>303</v>
      </c>
      <c r="J36" s="4" t="s">
        <v>33</v>
      </c>
      <c r="K36" s="4" t="s">
        <v>304</v>
      </c>
      <c r="L36" s="6">
        <v>46868.0</v>
      </c>
      <c r="M36" s="4" t="s">
        <v>300</v>
      </c>
      <c r="N36" s="6">
        <v>24687.0</v>
      </c>
      <c r="O36" s="4" t="s">
        <v>305</v>
      </c>
      <c r="P36" s="4" t="s">
        <v>306</v>
      </c>
      <c r="Q36" s="4" t="s">
        <v>52</v>
      </c>
      <c r="R36" s="7" t="s">
        <v>307</v>
      </c>
      <c r="S36" s="7" t="s">
        <v>307</v>
      </c>
      <c r="V36" s="4" t="s">
        <v>308</v>
      </c>
      <c r="W36" s="4" t="s">
        <v>309</v>
      </c>
      <c r="X36" s="4" t="s">
        <v>310</v>
      </c>
      <c r="Y36" s="7" t="s">
        <v>311</v>
      </c>
      <c r="Z36" s="4">
        <v>9.100430937E10</v>
      </c>
      <c r="AA36" s="4" t="s">
        <v>301</v>
      </c>
      <c r="AB36" s="8"/>
    </row>
    <row r="37" ht="22.5" customHeight="1">
      <c r="A37" s="3">
        <v>46192.742150983795</v>
      </c>
      <c r="B37" s="4">
        <v>5.0</v>
      </c>
      <c r="C37" s="5" t="str">
        <f>IFERROR(__xludf.DUMMYFUNCTION("""COMPUTED_VALUE"""),"L8")</f>
        <v>L8</v>
      </c>
      <c r="D37" s="4" t="s">
        <v>243</v>
      </c>
      <c r="E37" s="4" t="s">
        <v>246</v>
      </c>
      <c r="F37" s="4" t="s">
        <v>45</v>
      </c>
      <c r="G37" s="4" t="s">
        <v>312</v>
      </c>
      <c r="H37" s="4" t="s">
        <v>313</v>
      </c>
      <c r="I37" s="4" t="s">
        <v>314</v>
      </c>
      <c r="J37" s="4" t="s">
        <v>33</v>
      </c>
      <c r="K37" s="4" t="s">
        <v>315</v>
      </c>
      <c r="L37" s="6">
        <v>47212.0</v>
      </c>
      <c r="M37" s="4" t="s">
        <v>316</v>
      </c>
      <c r="N37" s="6">
        <v>40255.0</v>
      </c>
      <c r="O37" s="4" t="s">
        <v>248</v>
      </c>
      <c r="P37" s="4" t="s">
        <v>317</v>
      </c>
      <c r="Q37" s="4" t="s">
        <v>37</v>
      </c>
      <c r="R37" s="7" t="s">
        <v>318</v>
      </c>
      <c r="S37" s="7" t="s">
        <v>318</v>
      </c>
      <c r="V37" s="4" t="s">
        <v>255</v>
      </c>
      <c r="W37" s="4" t="s">
        <v>252</v>
      </c>
      <c r="X37" s="4" t="s">
        <v>79</v>
      </c>
      <c r="Y37" s="7" t="s">
        <v>253</v>
      </c>
      <c r="Z37" s="4" t="s">
        <v>254</v>
      </c>
      <c r="AA37" s="4" t="s">
        <v>255</v>
      </c>
      <c r="AB37" s="8"/>
    </row>
    <row r="38" ht="22.5" customHeight="1">
      <c r="A38" s="3">
        <v>46192.74346184028</v>
      </c>
      <c r="B38" s="4">
        <v>10.0</v>
      </c>
      <c r="C38" s="5" t="str">
        <f>IFERROR(__xludf.DUMMYFUNCTION("""COMPUTED_VALUE"""),"S3")</f>
        <v>S3</v>
      </c>
      <c r="D38" s="4">
        <v>4.220198309485E12</v>
      </c>
      <c r="E38" s="4" t="s">
        <v>214</v>
      </c>
      <c r="F38" s="4" t="s">
        <v>29</v>
      </c>
      <c r="G38" s="4" t="s">
        <v>319</v>
      </c>
      <c r="H38" s="4" t="s">
        <v>320</v>
      </c>
      <c r="I38" s="4" t="s">
        <v>321</v>
      </c>
      <c r="J38" s="4" t="s">
        <v>60</v>
      </c>
      <c r="K38" s="4" t="s">
        <v>322</v>
      </c>
      <c r="L38" s="6">
        <v>47402.0</v>
      </c>
      <c r="M38" s="4">
        <v>4.230193088418E12</v>
      </c>
      <c r="N38" s="6">
        <v>36633.0</v>
      </c>
      <c r="O38" s="4" t="s">
        <v>160</v>
      </c>
      <c r="P38" s="4" t="s">
        <v>259</v>
      </c>
      <c r="Q38" s="4" t="s">
        <v>37</v>
      </c>
      <c r="R38" s="7" t="s">
        <v>323</v>
      </c>
      <c r="S38" s="7" t="s">
        <v>323</v>
      </c>
      <c r="T38" s="4" t="s">
        <v>324</v>
      </c>
      <c r="U38" s="4" t="s">
        <v>65</v>
      </c>
      <c r="V38" s="4" t="s">
        <v>321</v>
      </c>
      <c r="W38" s="4">
        <v>4.230125847111E12</v>
      </c>
      <c r="X38" s="4" t="s">
        <v>40</v>
      </c>
      <c r="Y38" s="7" t="s">
        <v>325</v>
      </c>
      <c r="Z38" s="4" t="s">
        <v>262</v>
      </c>
      <c r="AA38" s="4" t="s">
        <v>263</v>
      </c>
      <c r="AB38" s="8"/>
    </row>
    <row r="39" ht="22.5" customHeight="1">
      <c r="A39" s="3">
        <v>46192.74451925926</v>
      </c>
      <c r="B39" s="4">
        <v>2.0</v>
      </c>
      <c r="C39" s="5" t="str">
        <f>IFERROR(__xludf.DUMMYFUNCTION("""COMPUTED_VALUE"""),"S5")</f>
        <v>S5</v>
      </c>
      <c r="D39" s="4">
        <v>4.230112027977E12</v>
      </c>
      <c r="E39" s="4" t="s">
        <v>326</v>
      </c>
      <c r="F39" s="4" t="s">
        <v>29</v>
      </c>
      <c r="G39" s="4" t="s">
        <v>251</v>
      </c>
      <c r="H39" s="4" t="s">
        <v>327</v>
      </c>
      <c r="I39" s="4" t="s">
        <v>328</v>
      </c>
      <c r="J39" s="4" t="s">
        <v>33</v>
      </c>
      <c r="K39" s="4" t="s">
        <v>329</v>
      </c>
      <c r="L39" s="6">
        <v>47114.0</v>
      </c>
      <c r="M39" s="4">
        <v>4.230112027977E12</v>
      </c>
      <c r="N39" s="6">
        <v>31038.0</v>
      </c>
      <c r="O39" s="4" t="s">
        <v>330</v>
      </c>
      <c r="P39" s="4" t="s">
        <v>331</v>
      </c>
      <c r="Q39" s="4" t="s">
        <v>52</v>
      </c>
      <c r="R39" s="7" t="s">
        <v>332</v>
      </c>
      <c r="S39" s="7" t="s">
        <v>332</v>
      </c>
      <c r="T39" s="4" t="s">
        <v>333</v>
      </c>
      <c r="U39" s="4" t="s">
        <v>67</v>
      </c>
      <c r="V39" s="4" t="s">
        <v>333</v>
      </c>
      <c r="W39" s="4" t="s">
        <v>334</v>
      </c>
      <c r="X39" s="4" t="s">
        <v>65</v>
      </c>
      <c r="Y39" s="7" t="s">
        <v>335</v>
      </c>
      <c r="Z39" s="4" t="s">
        <v>336</v>
      </c>
      <c r="AA39" s="4" t="s">
        <v>337</v>
      </c>
      <c r="AB39" s="8"/>
    </row>
    <row r="40" ht="22.5" customHeight="1">
      <c r="A40" s="3">
        <v>46192.74544961806</v>
      </c>
      <c r="B40" s="4">
        <v>2.0</v>
      </c>
      <c r="C40" s="5" t="str">
        <f>IFERROR(__xludf.DUMMYFUNCTION("""COMPUTED_VALUE"""),"L9")</f>
        <v>L9</v>
      </c>
      <c r="D40" s="4">
        <v>4.210136620199E12</v>
      </c>
      <c r="E40" s="4" t="s">
        <v>338</v>
      </c>
      <c r="F40" s="4" t="s">
        <v>45</v>
      </c>
      <c r="G40" s="4" t="s">
        <v>339</v>
      </c>
      <c r="H40" s="4" t="s">
        <v>338</v>
      </c>
      <c r="I40" s="4" t="s">
        <v>340</v>
      </c>
      <c r="J40" s="4" t="s">
        <v>33</v>
      </c>
      <c r="K40" s="4" t="s">
        <v>341</v>
      </c>
      <c r="L40" s="6">
        <v>48590.0</v>
      </c>
      <c r="M40" s="4" t="s">
        <v>342</v>
      </c>
      <c r="N40" s="6">
        <v>32047.0</v>
      </c>
      <c r="O40" s="4" t="s">
        <v>190</v>
      </c>
      <c r="P40" s="4" t="s">
        <v>343</v>
      </c>
      <c r="Q40" s="4" t="s">
        <v>37</v>
      </c>
      <c r="R40" s="7" t="s">
        <v>344</v>
      </c>
      <c r="S40" s="7" t="s">
        <v>344</v>
      </c>
      <c r="T40" s="4" t="s">
        <v>345</v>
      </c>
      <c r="U40" s="4" t="s">
        <v>65</v>
      </c>
      <c r="V40" s="4" t="s">
        <v>345</v>
      </c>
      <c r="W40" s="4" t="s">
        <v>346</v>
      </c>
      <c r="X40" s="4" t="s">
        <v>67</v>
      </c>
      <c r="Y40" s="7" t="s">
        <v>347</v>
      </c>
      <c r="Z40" s="4" t="s">
        <v>348</v>
      </c>
      <c r="AA40" s="4" t="s">
        <v>338</v>
      </c>
      <c r="AB40" s="8"/>
    </row>
    <row r="41" ht="22.5" customHeight="1">
      <c r="A41" s="3">
        <v>46192.753153854166</v>
      </c>
      <c r="B41" s="4" t="s">
        <v>349</v>
      </c>
      <c r="C41" s="5" t="str">
        <f>IFERROR(__xludf.DUMMYFUNCTION("""COMPUTED_VALUE"""),"S4")</f>
        <v>S4</v>
      </c>
      <c r="D41" s="4" t="s">
        <v>350</v>
      </c>
      <c r="E41" s="4" t="s">
        <v>301</v>
      </c>
      <c r="F41" s="4" t="s">
        <v>29</v>
      </c>
      <c r="G41" s="4" t="s">
        <v>351</v>
      </c>
      <c r="H41" s="4" t="s">
        <v>352</v>
      </c>
      <c r="I41" s="4" t="s">
        <v>301</v>
      </c>
      <c r="J41" s="4" t="s">
        <v>60</v>
      </c>
      <c r="K41" s="4" t="s">
        <v>353</v>
      </c>
      <c r="L41" s="6">
        <v>46869.0</v>
      </c>
      <c r="M41" s="4" t="s">
        <v>354</v>
      </c>
      <c r="N41" s="6">
        <v>29580.0</v>
      </c>
      <c r="O41" s="4" t="s">
        <v>305</v>
      </c>
      <c r="P41" s="4" t="s">
        <v>355</v>
      </c>
      <c r="Q41" s="4" t="s">
        <v>52</v>
      </c>
      <c r="R41" s="7" t="s">
        <v>356</v>
      </c>
      <c r="S41" s="7" t="s">
        <v>356</v>
      </c>
      <c r="T41" s="4" t="s">
        <v>301</v>
      </c>
      <c r="U41" s="4" t="s">
        <v>193</v>
      </c>
      <c r="V41" s="4" t="s">
        <v>357</v>
      </c>
      <c r="W41" s="4" t="s">
        <v>309</v>
      </c>
      <c r="X41" s="4" t="s">
        <v>358</v>
      </c>
      <c r="Y41" s="7" t="s">
        <v>311</v>
      </c>
      <c r="Z41" s="4" t="s">
        <v>359</v>
      </c>
      <c r="AA41" s="4" t="s">
        <v>360</v>
      </c>
      <c r="AB41" s="8"/>
    </row>
    <row r="42" ht="22.5" customHeight="1">
      <c r="A42" s="3">
        <v>46192.755980208334</v>
      </c>
      <c r="B42" s="4" t="s">
        <v>361</v>
      </c>
      <c r="C42" s="5" t="str">
        <f>IFERROR(__xludf.DUMMYFUNCTION("""COMPUTED_VALUE"""),"L10")</f>
        <v>L10</v>
      </c>
      <c r="D42" s="4">
        <v>4.210118201819E12</v>
      </c>
      <c r="E42" s="4" t="s">
        <v>362</v>
      </c>
      <c r="F42" s="4" t="s">
        <v>45</v>
      </c>
      <c r="G42" s="4" t="s">
        <v>363</v>
      </c>
      <c r="H42" s="4" t="s">
        <v>364</v>
      </c>
      <c r="I42" s="4" t="s">
        <v>365</v>
      </c>
      <c r="J42" s="4" t="s">
        <v>33</v>
      </c>
      <c r="K42" s="4" t="s">
        <v>366</v>
      </c>
      <c r="M42" s="4">
        <v>4.210118201819E12</v>
      </c>
      <c r="N42" s="6">
        <v>29811.0</v>
      </c>
      <c r="O42" s="4" t="s">
        <v>367</v>
      </c>
      <c r="P42" s="4" t="s">
        <v>368</v>
      </c>
      <c r="Q42" s="4" t="s">
        <v>133</v>
      </c>
      <c r="R42" s="7" t="s">
        <v>369</v>
      </c>
      <c r="S42" s="7" t="s">
        <v>370</v>
      </c>
      <c r="T42" s="4" t="s">
        <v>364</v>
      </c>
      <c r="U42" s="4" t="s">
        <v>65</v>
      </c>
      <c r="V42" s="4" t="s">
        <v>371</v>
      </c>
      <c r="W42" s="4" t="s">
        <v>372</v>
      </c>
      <c r="X42" s="4" t="s">
        <v>310</v>
      </c>
      <c r="Y42" s="7" t="s">
        <v>373</v>
      </c>
    </row>
    <row r="43" ht="22.5" customHeight="1">
      <c r="A43" s="3">
        <v>46192.76264914352</v>
      </c>
      <c r="B43" s="4" t="s">
        <v>361</v>
      </c>
      <c r="C43" s="5" t="str">
        <f>IFERROR(__xludf.DUMMYFUNCTION("""COMPUTED_VALUE"""),"L10")</f>
        <v>L10</v>
      </c>
      <c r="D43" s="4">
        <v>4.210118201819E12</v>
      </c>
      <c r="E43" s="4" t="s">
        <v>364</v>
      </c>
      <c r="F43" s="4" t="s">
        <v>45</v>
      </c>
      <c r="G43" s="4" t="s">
        <v>374</v>
      </c>
      <c r="H43" s="4" t="s">
        <v>375</v>
      </c>
      <c r="I43" s="4" t="s">
        <v>364</v>
      </c>
      <c r="J43" s="4" t="s">
        <v>60</v>
      </c>
      <c r="K43" s="4" t="s">
        <v>376</v>
      </c>
      <c r="L43" s="6">
        <v>46784.0</v>
      </c>
      <c r="M43" s="4" t="s">
        <v>377</v>
      </c>
      <c r="N43" s="6">
        <v>32783.0</v>
      </c>
      <c r="O43" s="4" t="s">
        <v>378</v>
      </c>
      <c r="P43" s="4" t="s">
        <v>379</v>
      </c>
      <c r="Q43" s="4" t="s">
        <v>133</v>
      </c>
      <c r="R43" s="7" t="s">
        <v>369</v>
      </c>
      <c r="S43" s="7" t="s">
        <v>370</v>
      </c>
      <c r="T43" s="4" t="s">
        <v>364</v>
      </c>
      <c r="U43" s="4" t="s">
        <v>65</v>
      </c>
      <c r="V43" s="4" t="s">
        <v>380</v>
      </c>
      <c r="W43" s="4" t="s">
        <v>372</v>
      </c>
      <c r="X43" s="4" t="s">
        <v>79</v>
      </c>
      <c r="Y43" s="7" t="s">
        <v>373</v>
      </c>
    </row>
    <row r="44" ht="22.5" customHeight="1">
      <c r="A44" s="3">
        <v>46192.81907971065</v>
      </c>
      <c r="B44" s="4">
        <v>2.0</v>
      </c>
      <c r="C44" s="5" t="str">
        <f>IFERROR(__xludf.DUMMYFUNCTION("""COMPUTED_VALUE"""),"S6")</f>
        <v>S6</v>
      </c>
      <c r="D44" s="4" t="s">
        <v>381</v>
      </c>
      <c r="E44" s="4" t="s">
        <v>382</v>
      </c>
      <c r="F44" s="4" t="s">
        <v>29</v>
      </c>
      <c r="G44" s="4" t="s">
        <v>383</v>
      </c>
      <c r="H44" s="4" t="s">
        <v>384</v>
      </c>
      <c r="I44" s="4" t="s">
        <v>383</v>
      </c>
      <c r="J44" s="4" t="s">
        <v>33</v>
      </c>
      <c r="K44" s="4" t="s">
        <v>385</v>
      </c>
      <c r="L44" s="6">
        <v>48392.0</v>
      </c>
      <c r="M44" s="4" t="s">
        <v>381</v>
      </c>
      <c r="N44" s="6">
        <v>31403.0</v>
      </c>
      <c r="O44" s="4" t="s">
        <v>386</v>
      </c>
      <c r="P44" s="4" t="s">
        <v>387</v>
      </c>
      <c r="Q44" s="4" t="s">
        <v>37</v>
      </c>
      <c r="R44" s="7" t="s">
        <v>388</v>
      </c>
      <c r="S44" s="7" t="s">
        <v>388</v>
      </c>
      <c r="V44" s="4" t="s">
        <v>383</v>
      </c>
      <c r="W44" s="4" t="s">
        <v>389</v>
      </c>
      <c r="X44" s="4" t="s">
        <v>40</v>
      </c>
      <c r="Y44" s="7" t="s">
        <v>390</v>
      </c>
      <c r="Z44" s="4" t="s">
        <v>391</v>
      </c>
      <c r="AA44" s="4" t="s">
        <v>384</v>
      </c>
      <c r="AB44" s="8"/>
    </row>
    <row r="45" ht="22.5" customHeight="1">
      <c r="A45" s="3">
        <v>46192.84593568287</v>
      </c>
      <c r="B45" s="4">
        <v>1.0</v>
      </c>
      <c r="C45" s="5" t="str">
        <f>IFERROR(__xludf.DUMMYFUNCTION("""COMPUTED_VALUE"""),"L11")</f>
        <v>L11</v>
      </c>
      <c r="D45" s="4">
        <v>4.220106535795E12</v>
      </c>
      <c r="E45" s="4" t="s">
        <v>392</v>
      </c>
      <c r="F45" s="4" t="s">
        <v>45</v>
      </c>
      <c r="G45" s="4" t="s">
        <v>393</v>
      </c>
      <c r="H45" s="4" t="s">
        <v>394</v>
      </c>
      <c r="I45" s="4" t="s">
        <v>395</v>
      </c>
      <c r="J45" s="4" t="s">
        <v>33</v>
      </c>
      <c r="M45" s="4">
        <v>4.220106535795E12</v>
      </c>
      <c r="N45" s="6">
        <v>22605.0</v>
      </c>
      <c r="O45" s="4" t="s">
        <v>148</v>
      </c>
      <c r="P45" s="4" t="s">
        <v>396</v>
      </c>
      <c r="Q45" s="4" t="s">
        <v>37</v>
      </c>
      <c r="R45" s="7" t="s">
        <v>397</v>
      </c>
      <c r="S45" s="7" t="s">
        <v>397</v>
      </c>
      <c r="V45" s="4" t="s">
        <v>398</v>
      </c>
      <c r="W45" s="4">
        <v>4.220168348347E12</v>
      </c>
      <c r="X45" s="4" t="s">
        <v>87</v>
      </c>
      <c r="Y45" s="7" t="s">
        <v>399</v>
      </c>
    </row>
    <row r="46" ht="22.5" customHeight="1">
      <c r="A46" s="3">
        <v>46192.87702503472</v>
      </c>
      <c r="B46" s="4">
        <v>2.0</v>
      </c>
      <c r="C46" s="5" t="str">
        <f>IFERROR(__xludf.DUMMYFUNCTION("""COMPUTED_VALUE"""),"L12")</f>
        <v>L12</v>
      </c>
      <c r="D46" s="4">
        <v>4.240119286319E12</v>
      </c>
      <c r="E46" s="4" t="s">
        <v>400</v>
      </c>
      <c r="F46" s="4" t="s">
        <v>45</v>
      </c>
      <c r="G46" s="4" t="s">
        <v>251</v>
      </c>
      <c r="H46" s="4" t="s">
        <v>401</v>
      </c>
      <c r="I46" s="4" t="s">
        <v>402</v>
      </c>
      <c r="J46" s="4" t="s">
        <v>33</v>
      </c>
      <c r="K46" s="4" t="s">
        <v>403</v>
      </c>
      <c r="L46" s="6">
        <v>49623.0</v>
      </c>
      <c r="M46" s="4">
        <v>4.240119286319E12</v>
      </c>
      <c r="N46" s="6">
        <v>23933.0</v>
      </c>
      <c r="O46" s="4" t="s">
        <v>35</v>
      </c>
      <c r="P46" s="4" t="s">
        <v>404</v>
      </c>
      <c r="Q46" s="4" t="s">
        <v>133</v>
      </c>
      <c r="R46" s="7" t="s">
        <v>405</v>
      </c>
      <c r="S46" s="7" t="s">
        <v>405</v>
      </c>
      <c r="V46" s="4" t="s">
        <v>406</v>
      </c>
      <c r="W46" s="4">
        <v>4.240139341471E12</v>
      </c>
      <c r="X46" s="4" t="s">
        <v>40</v>
      </c>
      <c r="Y46" s="7" t="s">
        <v>407</v>
      </c>
      <c r="Z46" s="4" t="s">
        <v>408</v>
      </c>
      <c r="AA46" s="4" t="s">
        <v>409</v>
      </c>
      <c r="AB46" s="8"/>
    </row>
    <row r="47" ht="22.5" customHeight="1">
      <c r="A47" s="3">
        <v>46192.886337199074</v>
      </c>
      <c r="B47" s="4">
        <v>2.0</v>
      </c>
      <c r="C47" s="5" t="str">
        <f>IFERROR(__xludf.DUMMYFUNCTION("""COMPUTED_VALUE"""),"L12")</f>
        <v>L12</v>
      </c>
      <c r="D47" s="4">
        <v>4.240119286319E12</v>
      </c>
      <c r="E47" s="4" t="s">
        <v>410</v>
      </c>
      <c r="F47" s="4" t="s">
        <v>45</v>
      </c>
      <c r="G47" s="4" t="s">
        <v>411</v>
      </c>
      <c r="H47" s="4" t="s">
        <v>412</v>
      </c>
      <c r="I47" s="4" t="s">
        <v>413</v>
      </c>
      <c r="J47" s="4" t="s">
        <v>60</v>
      </c>
      <c r="K47" s="4" t="s">
        <v>414</v>
      </c>
      <c r="L47" s="6">
        <v>49623.0</v>
      </c>
      <c r="M47" s="4">
        <v>4.240115935906E12</v>
      </c>
      <c r="N47" s="6">
        <v>27455.0</v>
      </c>
      <c r="O47" s="4" t="s">
        <v>148</v>
      </c>
      <c r="P47" s="4" t="s">
        <v>415</v>
      </c>
      <c r="Q47" s="4" t="s">
        <v>52</v>
      </c>
      <c r="R47" s="7" t="s">
        <v>416</v>
      </c>
      <c r="S47" s="7" t="s">
        <v>417</v>
      </c>
      <c r="T47" s="4" t="s">
        <v>410</v>
      </c>
      <c r="U47" s="4" t="s">
        <v>270</v>
      </c>
      <c r="V47" s="4" t="s">
        <v>418</v>
      </c>
      <c r="W47" s="4">
        <v>4.040139341471E12</v>
      </c>
      <c r="X47" s="4" t="s">
        <v>272</v>
      </c>
      <c r="Y47" s="7" t="s">
        <v>419</v>
      </c>
      <c r="Z47" s="4" t="s">
        <v>408</v>
      </c>
      <c r="AA47" s="4" t="s">
        <v>409</v>
      </c>
      <c r="AB47" s="8"/>
    </row>
    <row r="48" ht="22.5" customHeight="1">
      <c r="A48" s="3">
        <v>46192.90349815972</v>
      </c>
      <c r="B48" s="4">
        <v>2.0</v>
      </c>
      <c r="C48" s="5" t="str">
        <f>IFERROR(__xludf.DUMMYFUNCTION("""COMPUTED_VALUE"""),"S6")</f>
        <v>S6</v>
      </c>
      <c r="D48" s="4" t="s">
        <v>381</v>
      </c>
      <c r="E48" s="4" t="s">
        <v>384</v>
      </c>
      <c r="F48" s="4" t="s">
        <v>29</v>
      </c>
      <c r="G48" s="4" t="s">
        <v>384</v>
      </c>
      <c r="H48" s="4" t="s">
        <v>420</v>
      </c>
      <c r="I48" s="4" t="s">
        <v>384</v>
      </c>
      <c r="J48" s="4" t="s">
        <v>60</v>
      </c>
      <c r="K48" s="4" t="s">
        <v>421</v>
      </c>
      <c r="L48" s="6">
        <v>49701.0</v>
      </c>
      <c r="M48" s="4" t="s">
        <v>422</v>
      </c>
      <c r="N48" s="6">
        <v>32462.0</v>
      </c>
      <c r="O48" s="4" t="s">
        <v>386</v>
      </c>
      <c r="P48" s="4" t="s">
        <v>387</v>
      </c>
      <c r="Q48" s="4" t="s">
        <v>37</v>
      </c>
      <c r="R48" s="7" t="s">
        <v>423</v>
      </c>
      <c r="S48" s="7" t="s">
        <v>423</v>
      </c>
      <c r="T48" s="4" t="s">
        <v>384</v>
      </c>
      <c r="U48" s="4" t="s">
        <v>65</v>
      </c>
      <c r="V48" s="4" t="s">
        <v>383</v>
      </c>
      <c r="W48" s="4" t="s">
        <v>389</v>
      </c>
      <c r="X48" s="4" t="s">
        <v>194</v>
      </c>
      <c r="Y48" s="7" t="s">
        <v>390</v>
      </c>
      <c r="Z48" s="4" t="s">
        <v>391</v>
      </c>
      <c r="AA48" s="4" t="s">
        <v>384</v>
      </c>
      <c r="AB48" s="8"/>
    </row>
    <row r="49" ht="22.5" customHeight="1">
      <c r="A49" s="3">
        <v>46192.91279920139</v>
      </c>
      <c r="B49" s="4">
        <v>2.0</v>
      </c>
      <c r="C49" s="5" t="str">
        <f>IFERROR(__xludf.DUMMYFUNCTION("""COMPUTED_VALUE"""),"L13")</f>
        <v>L13</v>
      </c>
      <c r="D49" s="4">
        <v>4.230173752149E12</v>
      </c>
      <c r="E49" s="4" t="s">
        <v>424</v>
      </c>
      <c r="F49" s="4" t="s">
        <v>45</v>
      </c>
      <c r="G49" s="4" t="s">
        <v>425</v>
      </c>
      <c r="H49" s="4" t="s">
        <v>426</v>
      </c>
      <c r="I49" s="4" t="s">
        <v>427</v>
      </c>
      <c r="J49" s="4" t="s">
        <v>33</v>
      </c>
      <c r="K49" s="4" t="s">
        <v>428</v>
      </c>
      <c r="L49" s="6">
        <v>47958.0</v>
      </c>
      <c r="M49" s="4">
        <v>4.230173752149E12</v>
      </c>
      <c r="N49" s="6">
        <v>29859.0</v>
      </c>
      <c r="O49" s="4" t="s">
        <v>429</v>
      </c>
      <c r="P49" s="4" t="s">
        <v>430</v>
      </c>
      <c r="Q49" s="4" t="s">
        <v>431</v>
      </c>
      <c r="R49" s="7" t="s">
        <v>432</v>
      </c>
      <c r="S49" s="7" t="s">
        <v>432</v>
      </c>
      <c r="T49" s="4" t="s">
        <v>433</v>
      </c>
      <c r="U49" s="4" t="s">
        <v>434</v>
      </c>
      <c r="V49" s="4" t="s">
        <v>435</v>
      </c>
      <c r="W49" s="4">
        <v>4.230159287069E12</v>
      </c>
      <c r="X49" s="4" t="s">
        <v>436</v>
      </c>
      <c r="Y49" s="7" t="s">
        <v>437</v>
      </c>
      <c r="Z49" s="4" t="s">
        <v>438</v>
      </c>
      <c r="AA49" s="4" t="s">
        <v>424</v>
      </c>
      <c r="AB49" s="8"/>
    </row>
    <row r="50" ht="22.5" customHeight="1">
      <c r="A50" s="3">
        <v>46192.91932402778</v>
      </c>
      <c r="B50" s="4">
        <v>2.0</v>
      </c>
      <c r="C50" s="5" t="str">
        <f>IFERROR(__xludf.DUMMYFUNCTION("""COMPUTED_VALUE"""),"L13")</f>
        <v>L13</v>
      </c>
      <c r="D50" s="4" t="s">
        <v>439</v>
      </c>
      <c r="E50" s="4" t="s">
        <v>440</v>
      </c>
      <c r="F50" s="4" t="s">
        <v>45</v>
      </c>
      <c r="G50" s="4" t="s">
        <v>441</v>
      </c>
      <c r="H50" s="4" t="s">
        <v>442</v>
      </c>
      <c r="I50" s="4" t="s">
        <v>424</v>
      </c>
      <c r="J50" s="4" t="s">
        <v>60</v>
      </c>
      <c r="K50" s="4" t="s">
        <v>443</v>
      </c>
      <c r="L50" s="6">
        <v>47958.0</v>
      </c>
      <c r="M50" s="4" t="s">
        <v>444</v>
      </c>
      <c r="N50" s="6">
        <v>30123.0</v>
      </c>
      <c r="O50" s="4" t="s">
        <v>160</v>
      </c>
      <c r="P50" s="4" t="s">
        <v>445</v>
      </c>
      <c r="Q50" s="4" t="s">
        <v>52</v>
      </c>
      <c r="R50" s="7" t="s">
        <v>446</v>
      </c>
      <c r="S50" s="7" t="s">
        <v>446</v>
      </c>
      <c r="T50" s="4" t="s">
        <v>440</v>
      </c>
      <c r="U50" s="4" t="s">
        <v>193</v>
      </c>
      <c r="V50" s="4" t="s">
        <v>447</v>
      </c>
      <c r="W50" s="4" t="s">
        <v>448</v>
      </c>
      <c r="X50" s="4" t="s">
        <v>87</v>
      </c>
      <c r="Y50" s="7" t="s">
        <v>437</v>
      </c>
      <c r="Z50" s="4" t="s">
        <v>449</v>
      </c>
      <c r="AA50" s="4" t="s">
        <v>440</v>
      </c>
      <c r="AB50" s="8"/>
    </row>
    <row r="51" ht="22.5" customHeight="1">
      <c r="A51" s="3">
        <v>46192.92218138889</v>
      </c>
      <c r="B51" s="4">
        <v>2.0</v>
      </c>
      <c r="C51" s="5" t="str">
        <f>IFERROR(__xludf.DUMMYFUNCTION("""COMPUTED_VALUE"""),"S7")</f>
        <v>S7</v>
      </c>
      <c r="D51" s="4" t="s">
        <v>450</v>
      </c>
      <c r="E51" s="4" t="s">
        <v>451</v>
      </c>
      <c r="F51" s="4" t="s">
        <v>29</v>
      </c>
      <c r="G51" s="4" t="s">
        <v>452</v>
      </c>
      <c r="H51" s="4" t="s">
        <v>453</v>
      </c>
      <c r="I51" s="4" t="s">
        <v>48</v>
      </c>
      <c r="J51" s="4" t="s">
        <v>33</v>
      </c>
      <c r="K51" s="4" t="s">
        <v>454</v>
      </c>
      <c r="L51" s="6">
        <v>47754.0</v>
      </c>
      <c r="M51" s="4" t="s">
        <v>450</v>
      </c>
      <c r="N51" s="6">
        <v>33457.0</v>
      </c>
      <c r="O51" s="4" t="s">
        <v>160</v>
      </c>
      <c r="P51" s="4" t="s">
        <v>455</v>
      </c>
      <c r="Q51" s="4" t="s">
        <v>37</v>
      </c>
      <c r="R51" s="7" t="s">
        <v>456</v>
      </c>
      <c r="S51" s="7" t="s">
        <v>456</v>
      </c>
      <c r="V51" s="4" t="s">
        <v>48</v>
      </c>
      <c r="W51" s="4" t="s">
        <v>457</v>
      </c>
      <c r="X51" s="4" t="s">
        <v>40</v>
      </c>
      <c r="Y51" s="7" t="s">
        <v>458</v>
      </c>
      <c r="Z51" s="4" t="s">
        <v>459</v>
      </c>
      <c r="AA51" s="4" t="s">
        <v>451</v>
      </c>
      <c r="AB51" s="8"/>
    </row>
    <row r="52" ht="22.5" customHeight="1">
      <c r="A52" s="3">
        <v>46192.9238695949</v>
      </c>
      <c r="B52" s="4">
        <v>2.0</v>
      </c>
      <c r="C52" s="5" t="str">
        <f>IFERROR(__xludf.DUMMYFUNCTION("""COMPUTED_VALUE"""),"L13")</f>
        <v>L13</v>
      </c>
      <c r="D52" s="4">
        <v>4.230173752149E12</v>
      </c>
      <c r="E52" s="4" t="s">
        <v>440</v>
      </c>
      <c r="F52" s="4" t="s">
        <v>45</v>
      </c>
      <c r="G52" s="4" t="s">
        <v>425</v>
      </c>
      <c r="H52" s="4" t="s">
        <v>426</v>
      </c>
      <c r="I52" s="4" t="s">
        <v>460</v>
      </c>
      <c r="J52" s="4" t="s">
        <v>33</v>
      </c>
      <c r="K52" s="4" t="s">
        <v>461</v>
      </c>
      <c r="L52" s="6">
        <v>47958.0</v>
      </c>
      <c r="M52" s="4">
        <v>4.230173752149E12</v>
      </c>
      <c r="N52" s="6">
        <v>29859.0</v>
      </c>
      <c r="O52" s="4" t="s">
        <v>160</v>
      </c>
      <c r="P52" s="4" t="s">
        <v>462</v>
      </c>
      <c r="Q52" s="4" t="s">
        <v>431</v>
      </c>
      <c r="R52" s="7" t="s">
        <v>432</v>
      </c>
      <c r="S52" s="7" t="s">
        <v>432</v>
      </c>
      <c r="V52" s="4" t="s">
        <v>463</v>
      </c>
      <c r="W52" s="4">
        <v>4.230159287069E12</v>
      </c>
      <c r="X52" s="4" t="s">
        <v>87</v>
      </c>
      <c r="Y52" s="7" t="s">
        <v>437</v>
      </c>
      <c r="Z52" s="4" t="s">
        <v>438</v>
      </c>
      <c r="AA52" s="4" t="s">
        <v>440</v>
      </c>
      <c r="AB52" s="8"/>
    </row>
    <row r="53" ht="22.5" customHeight="1">
      <c r="A53" s="3">
        <v>46192.943844548616</v>
      </c>
      <c r="B53" s="4">
        <v>2.0</v>
      </c>
      <c r="C53" s="5" t="str">
        <f>IFERROR(__xludf.DUMMYFUNCTION("""COMPUTED_VALUE"""),"L14")</f>
        <v>L14</v>
      </c>
      <c r="D53" s="4" t="s">
        <v>464</v>
      </c>
      <c r="E53" s="4" t="s">
        <v>288</v>
      </c>
      <c r="F53" s="4" t="s">
        <v>45</v>
      </c>
      <c r="G53" s="4" t="s">
        <v>283</v>
      </c>
      <c r="H53" s="4" t="s">
        <v>31</v>
      </c>
      <c r="I53" s="4" t="s">
        <v>465</v>
      </c>
      <c r="J53" s="4" t="s">
        <v>33</v>
      </c>
      <c r="K53" s="4" t="s">
        <v>466</v>
      </c>
      <c r="L53" s="6">
        <v>47919.0</v>
      </c>
      <c r="M53" s="4" t="s">
        <v>464</v>
      </c>
      <c r="N53" s="6">
        <v>36796.0</v>
      </c>
      <c r="O53" s="4" t="s">
        <v>160</v>
      </c>
      <c r="P53" s="4" t="s">
        <v>467</v>
      </c>
      <c r="Q53" s="4" t="s">
        <v>133</v>
      </c>
      <c r="R53" s="7" t="s">
        <v>468</v>
      </c>
      <c r="S53" s="7" t="s">
        <v>468</v>
      </c>
      <c r="V53" s="4" t="s">
        <v>469</v>
      </c>
      <c r="W53" s="4" t="s">
        <v>470</v>
      </c>
      <c r="X53" s="4" t="s">
        <v>40</v>
      </c>
      <c r="Y53" s="7" t="s">
        <v>471</v>
      </c>
      <c r="Z53" s="4" t="s">
        <v>472</v>
      </c>
      <c r="AA53" s="4" t="s">
        <v>473</v>
      </c>
      <c r="AB53" s="8"/>
    </row>
    <row r="54" ht="22.5" customHeight="1">
      <c r="A54" s="3">
        <v>46192.94941553241</v>
      </c>
      <c r="B54" s="4">
        <v>2.0</v>
      </c>
      <c r="C54" s="5" t="str">
        <f>IFERROR(__xludf.DUMMYFUNCTION("""COMPUTED_VALUE"""),"L14")</f>
        <v>L14</v>
      </c>
      <c r="D54" s="4" t="s">
        <v>464</v>
      </c>
      <c r="E54" s="4" t="s">
        <v>288</v>
      </c>
      <c r="F54" s="4" t="s">
        <v>45</v>
      </c>
      <c r="G54" s="4" t="s">
        <v>474</v>
      </c>
      <c r="H54" s="4" t="s">
        <v>475</v>
      </c>
      <c r="I54" s="4" t="s">
        <v>476</v>
      </c>
      <c r="J54" s="4" t="s">
        <v>60</v>
      </c>
      <c r="K54" s="4" t="s">
        <v>477</v>
      </c>
      <c r="L54" s="6">
        <v>47920.0</v>
      </c>
      <c r="M54" s="4" t="s">
        <v>478</v>
      </c>
      <c r="N54" s="6">
        <v>37426.0</v>
      </c>
      <c r="O54" s="4" t="s">
        <v>35</v>
      </c>
      <c r="P54" s="4" t="s">
        <v>479</v>
      </c>
      <c r="Q54" s="4" t="s">
        <v>431</v>
      </c>
      <c r="R54" s="7" t="s">
        <v>480</v>
      </c>
      <c r="S54" s="7" t="s">
        <v>480</v>
      </c>
      <c r="T54" s="4" t="s">
        <v>481</v>
      </c>
      <c r="U54" s="4" t="s">
        <v>65</v>
      </c>
      <c r="V54" s="4" t="s">
        <v>476</v>
      </c>
      <c r="W54" s="4" t="s">
        <v>464</v>
      </c>
      <c r="X54" s="4" t="s">
        <v>193</v>
      </c>
      <c r="Y54" s="7" t="s">
        <v>468</v>
      </c>
      <c r="Z54" s="4" t="s">
        <v>472</v>
      </c>
      <c r="AA54" s="4" t="s">
        <v>482</v>
      </c>
      <c r="AB54" s="8"/>
    </row>
    <row r="55" ht="22.5" customHeight="1">
      <c r="A55" s="3">
        <v>46192.96201700231</v>
      </c>
      <c r="B55" s="4">
        <v>3.0</v>
      </c>
      <c r="C55" s="5" t="str">
        <f>IFERROR(__xludf.DUMMYFUNCTION("""COMPUTED_VALUE"""),"L15")</f>
        <v>L15</v>
      </c>
      <c r="D55" s="4">
        <v>4.230169841599E12</v>
      </c>
      <c r="E55" s="4" t="s">
        <v>483</v>
      </c>
      <c r="F55" s="4" t="s">
        <v>45</v>
      </c>
      <c r="G55" s="4" t="s">
        <v>484</v>
      </c>
      <c r="H55" s="4" t="s">
        <v>483</v>
      </c>
      <c r="I55" s="4" t="s">
        <v>485</v>
      </c>
      <c r="J55" s="4" t="s">
        <v>33</v>
      </c>
      <c r="K55" s="4">
        <v>1.0342445823E10</v>
      </c>
      <c r="L55" s="6">
        <v>49843.0</v>
      </c>
      <c r="M55" s="4">
        <v>4.230169841599E12</v>
      </c>
      <c r="N55" s="6">
        <v>34442.0</v>
      </c>
      <c r="O55" s="4" t="s">
        <v>35</v>
      </c>
      <c r="P55" s="4" t="s">
        <v>486</v>
      </c>
      <c r="Q55" s="4" t="s">
        <v>52</v>
      </c>
      <c r="R55" s="7" t="s">
        <v>487</v>
      </c>
      <c r="S55" s="7" t="s">
        <v>487</v>
      </c>
      <c r="V55" s="4" t="s">
        <v>488</v>
      </c>
      <c r="W55" s="4">
        <v>4.230109118355E12</v>
      </c>
      <c r="X55" s="4" t="s">
        <v>79</v>
      </c>
      <c r="Y55" s="7" t="s">
        <v>489</v>
      </c>
    </row>
    <row r="56" ht="22.5" customHeight="1">
      <c r="A56" s="3">
        <v>46192.96391869213</v>
      </c>
      <c r="B56" s="4">
        <v>3.0</v>
      </c>
      <c r="C56" s="5" t="str">
        <f>IFERROR(__xludf.DUMMYFUNCTION("""COMPUTED_VALUE"""),"L15")</f>
        <v>L15</v>
      </c>
      <c r="D56" s="4">
        <v>4.230169841599E12</v>
      </c>
      <c r="E56" s="4" t="s">
        <v>483</v>
      </c>
      <c r="F56" s="4" t="s">
        <v>45</v>
      </c>
      <c r="G56" s="4" t="s">
        <v>484</v>
      </c>
      <c r="H56" s="4" t="s">
        <v>483</v>
      </c>
      <c r="I56" s="4" t="s">
        <v>485</v>
      </c>
      <c r="J56" s="4" t="s">
        <v>33</v>
      </c>
      <c r="K56" s="4">
        <v>1.0342445823E10</v>
      </c>
      <c r="L56" s="6">
        <v>49843.0</v>
      </c>
      <c r="M56" s="4">
        <v>4.230169841599E12</v>
      </c>
      <c r="N56" s="6">
        <v>34442.0</v>
      </c>
      <c r="O56" s="4" t="s">
        <v>35</v>
      </c>
      <c r="P56" s="4" t="s">
        <v>490</v>
      </c>
      <c r="Q56" s="4" t="s">
        <v>52</v>
      </c>
      <c r="R56" s="7" t="s">
        <v>487</v>
      </c>
      <c r="S56" s="7" t="s">
        <v>487</v>
      </c>
      <c r="V56" s="4" t="s">
        <v>488</v>
      </c>
      <c r="W56" s="4">
        <v>4.230109118355E12</v>
      </c>
      <c r="X56" s="4" t="s">
        <v>79</v>
      </c>
      <c r="Y56" s="7" t="s">
        <v>489</v>
      </c>
    </row>
    <row r="57" ht="22.5" customHeight="1">
      <c r="A57" s="3">
        <v>46192.96805034722</v>
      </c>
      <c r="B57" s="4">
        <v>2.0</v>
      </c>
      <c r="C57" s="5" t="str">
        <f>IFERROR(__xludf.DUMMYFUNCTION("""COMPUTED_VALUE"""),"L16")</f>
        <v>L16</v>
      </c>
      <c r="D57" s="4">
        <v>4.230170508435E12</v>
      </c>
      <c r="E57" s="4" t="s">
        <v>251</v>
      </c>
      <c r="F57" s="4" t="s">
        <v>45</v>
      </c>
      <c r="G57" s="4" t="s">
        <v>491</v>
      </c>
      <c r="H57" s="4" t="s">
        <v>251</v>
      </c>
      <c r="I57" s="4" t="s">
        <v>492</v>
      </c>
      <c r="J57" s="4" t="s">
        <v>33</v>
      </c>
      <c r="M57" s="4">
        <v>4.230170508435E12</v>
      </c>
      <c r="N57" s="6">
        <v>35535.0</v>
      </c>
      <c r="O57" s="4" t="s">
        <v>493</v>
      </c>
      <c r="P57" s="4" t="s">
        <v>494</v>
      </c>
      <c r="Q57" s="4" t="s">
        <v>37</v>
      </c>
      <c r="R57" s="7" t="s">
        <v>495</v>
      </c>
      <c r="S57" s="7" t="s">
        <v>496</v>
      </c>
      <c r="T57" s="4" t="s">
        <v>497</v>
      </c>
      <c r="U57" s="4" t="s">
        <v>498</v>
      </c>
      <c r="V57" s="4" t="s">
        <v>499</v>
      </c>
      <c r="W57" s="4">
        <v>4.230158669127E12</v>
      </c>
      <c r="X57" s="4" t="s">
        <v>500</v>
      </c>
      <c r="Y57" s="4" t="s">
        <v>501</v>
      </c>
      <c r="Z57" s="4" t="s">
        <v>502</v>
      </c>
      <c r="AA57" s="4" t="s">
        <v>251</v>
      </c>
      <c r="AB57" s="8"/>
    </row>
    <row r="58" ht="22.5" customHeight="1">
      <c r="A58" s="3">
        <v>46192.968872638885</v>
      </c>
      <c r="B58" s="4">
        <v>3.0</v>
      </c>
      <c r="C58" s="5" t="str">
        <f>IFERROR(__xludf.DUMMYFUNCTION("""COMPUTED_VALUE"""),"L15")</f>
        <v>L15</v>
      </c>
      <c r="D58" s="4">
        <v>4.230169841599E12</v>
      </c>
      <c r="E58" s="4" t="s">
        <v>483</v>
      </c>
      <c r="F58" s="4" t="s">
        <v>45</v>
      </c>
      <c r="G58" s="4" t="s">
        <v>251</v>
      </c>
      <c r="H58" s="4" t="s">
        <v>503</v>
      </c>
      <c r="I58" s="4" t="s">
        <v>251</v>
      </c>
      <c r="J58" s="4" t="s">
        <v>60</v>
      </c>
      <c r="K58" s="4" t="s">
        <v>504</v>
      </c>
      <c r="L58" s="6">
        <v>49098.0</v>
      </c>
      <c r="M58" s="4">
        <v>4.230130601598E12</v>
      </c>
      <c r="N58" s="6">
        <v>25383.0</v>
      </c>
      <c r="O58" s="4" t="s">
        <v>35</v>
      </c>
      <c r="P58" s="4" t="s">
        <v>505</v>
      </c>
      <c r="Q58" s="4" t="s">
        <v>52</v>
      </c>
      <c r="R58" s="7" t="s">
        <v>489</v>
      </c>
      <c r="S58" s="7" t="s">
        <v>489</v>
      </c>
      <c r="T58" s="4" t="s">
        <v>506</v>
      </c>
      <c r="U58" s="4" t="s">
        <v>87</v>
      </c>
      <c r="V58" s="4" t="s">
        <v>488</v>
      </c>
      <c r="W58" s="4">
        <v>4.230109118355E12</v>
      </c>
      <c r="X58" s="4" t="s">
        <v>87</v>
      </c>
      <c r="Y58" s="7" t="s">
        <v>489</v>
      </c>
    </row>
    <row r="59" ht="22.5" customHeight="1">
      <c r="A59" s="3">
        <v>46192.97042399306</v>
      </c>
      <c r="B59" s="4">
        <v>2.0</v>
      </c>
      <c r="C59" s="5" t="str">
        <f>IFERROR(__xludf.DUMMYFUNCTION("""COMPUTED_VALUE"""),"L16")</f>
        <v>L16</v>
      </c>
      <c r="D59" s="4">
        <v>4.230170508435E12</v>
      </c>
      <c r="E59" s="4" t="s">
        <v>251</v>
      </c>
      <c r="F59" s="4" t="s">
        <v>45</v>
      </c>
      <c r="G59" s="4" t="s">
        <v>491</v>
      </c>
      <c r="H59" s="4" t="s">
        <v>497</v>
      </c>
      <c r="I59" s="4" t="s">
        <v>492</v>
      </c>
      <c r="J59" s="4" t="s">
        <v>60</v>
      </c>
      <c r="M59" s="4">
        <v>4.230170605864E12</v>
      </c>
      <c r="N59" s="6">
        <v>22647.0</v>
      </c>
      <c r="O59" s="4" t="s">
        <v>493</v>
      </c>
      <c r="P59" s="4" t="s">
        <v>494</v>
      </c>
      <c r="Q59" s="4" t="s">
        <v>37</v>
      </c>
      <c r="R59" s="7" t="s">
        <v>507</v>
      </c>
      <c r="S59" s="7" t="s">
        <v>507</v>
      </c>
      <c r="T59" s="4" t="s">
        <v>251</v>
      </c>
      <c r="U59" s="4" t="s">
        <v>87</v>
      </c>
      <c r="V59" s="4" t="s">
        <v>499</v>
      </c>
      <c r="W59" s="4">
        <v>4.230158669127E12</v>
      </c>
      <c r="X59" s="4" t="s">
        <v>508</v>
      </c>
      <c r="Y59" s="7" t="s">
        <v>509</v>
      </c>
      <c r="Z59" s="4" t="s">
        <v>502</v>
      </c>
      <c r="AA59" s="4" t="s">
        <v>251</v>
      </c>
      <c r="AB59" s="8"/>
    </row>
    <row r="60" ht="22.5" customHeight="1">
      <c r="A60" s="3">
        <v>46192.971201238426</v>
      </c>
      <c r="B60" s="4">
        <v>3.0</v>
      </c>
      <c r="C60" s="5" t="str">
        <f>IFERROR(__xludf.DUMMYFUNCTION("""COMPUTED_VALUE"""),"L15")</f>
        <v>L15</v>
      </c>
      <c r="D60" s="4">
        <v>4.230169841599E12</v>
      </c>
      <c r="E60" s="4" t="s">
        <v>483</v>
      </c>
      <c r="F60" s="4" t="s">
        <v>45</v>
      </c>
      <c r="G60" s="4" t="s">
        <v>484</v>
      </c>
      <c r="H60" s="4" t="s">
        <v>510</v>
      </c>
      <c r="I60" s="4" t="s">
        <v>483</v>
      </c>
      <c r="J60" s="4" t="s">
        <v>60</v>
      </c>
      <c r="K60" s="4" t="s">
        <v>511</v>
      </c>
      <c r="L60" s="6">
        <v>47050.0</v>
      </c>
      <c r="M60" s="4">
        <v>4.230105654514E12</v>
      </c>
      <c r="N60" s="6">
        <v>35974.0</v>
      </c>
      <c r="O60" s="4" t="s">
        <v>512</v>
      </c>
      <c r="P60" s="4" t="s">
        <v>513</v>
      </c>
      <c r="Q60" s="4" t="s">
        <v>52</v>
      </c>
      <c r="R60" s="7" t="s">
        <v>487</v>
      </c>
      <c r="S60" s="7" t="s">
        <v>487</v>
      </c>
      <c r="T60" s="4" t="s">
        <v>483</v>
      </c>
      <c r="U60" s="4" t="s">
        <v>65</v>
      </c>
      <c r="V60" s="4" t="s">
        <v>488</v>
      </c>
      <c r="W60" s="4">
        <v>4.230109118355E12</v>
      </c>
      <c r="X60" s="4" t="s">
        <v>79</v>
      </c>
      <c r="Y60" s="7" t="s">
        <v>489</v>
      </c>
    </row>
    <row r="61" ht="22.5" customHeight="1">
      <c r="A61" s="3">
        <v>46192.97669707176</v>
      </c>
      <c r="B61" s="4">
        <v>1.0</v>
      </c>
      <c r="C61" s="5" t="str">
        <f>IFERROR(__xludf.DUMMYFUNCTION("""COMPUTED_VALUE"""),"L17")</f>
        <v>L17</v>
      </c>
      <c r="D61" s="4" t="s">
        <v>514</v>
      </c>
      <c r="E61" s="4" t="s">
        <v>515</v>
      </c>
      <c r="F61" s="4" t="s">
        <v>45</v>
      </c>
      <c r="G61" s="4" t="s">
        <v>516</v>
      </c>
      <c r="H61" s="4" t="s">
        <v>515</v>
      </c>
      <c r="I61" s="4" t="s">
        <v>517</v>
      </c>
      <c r="J61" s="4" t="s">
        <v>33</v>
      </c>
      <c r="K61" s="4" t="s">
        <v>518</v>
      </c>
      <c r="L61" s="6">
        <v>48933.0</v>
      </c>
      <c r="M61" s="4">
        <v>4.230182889017E12</v>
      </c>
      <c r="N61" s="6">
        <v>31970.0</v>
      </c>
      <c r="O61" s="4" t="s">
        <v>519</v>
      </c>
      <c r="P61" s="4" t="s">
        <v>520</v>
      </c>
      <c r="Q61" s="4" t="s">
        <v>133</v>
      </c>
      <c r="R61" s="7" t="s">
        <v>521</v>
      </c>
      <c r="S61" s="7" t="s">
        <v>521</v>
      </c>
      <c r="V61" s="4" t="s">
        <v>522</v>
      </c>
      <c r="W61" s="4" t="s">
        <v>523</v>
      </c>
      <c r="X61" s="4" t="s">
        <v>79</v>
      </c>
      <c r="Y61" s="4">
        <v>3.002627662E9</v>
      </c>
      <c r="Z61" s="7" t="s">
        <v>524</v>
      </c>
      <c r="AA61" s="4" t="s">
        <v>525</v>
      </c>
      <c r="AB61" s="8"/>
    </row>
    <row r="62" ht="22.5" customHeight="1">
      <c r="A62" s="3">
        <v>46192.97973554398</v>
      </c>
      <c r="B62" s="4">
        <v>2.0</v>
      </c>
      <c r="C62" s="5" t="str">
        <f>IFERROR(__xludf.DUMMYFUNCTION("""COMPUTED_VALUE"""),"S8")</f>
        <v>S8</v>
      </c>
      <c r="D62" s="4">
        <v>4.230110077309E12</v>
      </c>
      <c r="E62" s="4" t="s">
        <v>526</v>
      </c>
      <c r="F62" s="4" t="s">
        <v>29</v>
      </c>
      <c r="G62" s="4" t="s">
        <v>527</v>
      </c>
      <c r="H62" s="4" t="s">
        <v>526</v>
      </c>
      <c r="I62" s="4" t="s">
        <v>527</v>
      </c>
      <c r="J62" s="4" t="s">
        <v>33</v>
      </c>
      <c r="K62" s="4" t="s">
        <v>528</v>
      </c>
      <c r="L62" s="6">
        <v>46774.0</v>
      </c>
      <c r="M62" s="4">
        <v>4.230110077309E12</v>
      </c>
      <c r="N62" s="6">
        <v>28491.0</v>
      </c>
      <c r="O62" s="4" t="s">
        <v>529</v>
      </c>
      <c r="P62" s="4" t="s">
        <v>530</v>
      </c>
      <c r="Q62" s="4" t="s">
        <v>133</v>
      </c>
      <c r="R62" s="7" t="s">
        <v>531</v>
      </c>
      <c r="S62" s="7" t="s">
        <v>531</v>
      </c>
      <c r="V62" s="4" t="s">
        <v>532</v>
      </c>
      <c r="W62" s="4" t="s">
        <v>533</v>
      </c>
      <c r="X62" s="4" t="s">
        <v>79</v>
      </c>
      <c r="Y62" s="7" t="s">
        <v>534</v>
      </c>
    </row>
    <row r="63" ht="22.5" customHeight="1">
      <c r="A63" s="3">
        <v>46192.98478482639</v>
      </c>
      <c r="B63" s="4">
        <v>2.0</v>
      </c>
      <c r="C63" s="5" t="str">
        <f>IFERROR(__xludf.DUMMYFUNCTION("""COMPUTED_VALUE"""),"S8")</f>
        <v>S8</v>
      </c>
      <c r="D63" s="4">
        <v>4.230110077309E12</v>
      </c>
      <c r="E63" s="4" t="s">
        <v>526</v>
      </c>
      <c r="F63" s="4" t="s">
        <v>29</v>
      </c>
      <c r="G63" s="4" t="s">
        <v>526</v>
      </c>
      <c r="H63" s="4" t="s">
        <v>535</v>
      </c>
      <c r="I63" s="4" t="s">
        <v>526</v>
      </c>
      <c r="J63" s="4" t="s">
        <v>60</v>
      </c>
      <c r="K63" s="4" t="s">
        <v>536</v>
      </c>
      <c r="L63" s="6">
        <v>46774.0</v>
      </c>
      <c r="M63" s="4">
        <v>4.230162763858E12</v>
      </c>
      <c r="N63" s="6">
        <v>31150.0</v>
      </c>
      <c r="O63" s="4" t="s">
        <v>117</v>
      </c>
      <c r="P63" s="4" t="s">
        <v>537</v>
      </c>
      <c r="Q63" s="4" t="s">
        <v>133</v>
      </c>
      <c r="R63" s="7" t="s">
        <v>538</v>
      </c>
      <c r="S63" s="7" t="s">
        <v>538</v>
      </c>
      <c r="T63" s="4" t="s">
        <v>526</v>
      </c>
      <c r="U63" s="4" t="s">
        <v>65</v>
      </c>
      <c r="V63" s="4" t="s">
        <v>532</v>
      </c>
      <c r="W63" s="4" t="s">
        <v>539</v>
      </c>
      <c r="X63" s="4" t="s">
        <v>79</v>
      </c>
      <c r="Y63" s="7" t="s">
        <v>534</v>
      </c>
    </row>
    <row r="64" ht="22.5" customHeight="1">
      <c r="A64" s="3">
        <v>46192.99127987269</v>
      </c>
      <c r="B64" s="4">
        <v>2.0</v>
      </c>
      <c r="C64" s="5" t="str">
        <f>IFERROR(__xludf.DUMMYFUNCTION("""COMPUTED_VALUE"""),"S9")</f>
        <v>S9</v>
      </c>
      <c r="D64" s="4">
        <v>4.230115236591E12</v>
      </c>
      <c r="E64" s="4" t="s">
        <v>540</v>
      </c>
      <c r="F64" s="4" t="s">
        <v>29</v>
      </c>
      <c r="G64" s="4" t="s">
        <v>541</v>
      </c>
      <c r="H64" s="4" t="s">
        <v>542</v>
      </c>
      <c r="I64" s="4" t="s">
        <v>543</v>
      </c>
      <c r="J64" s="4" t="s">
        <v>33</v>
      </c>
      <c r="K64" s="4" t="s">
        <v>544</v>
      </c>
      <c r="L64" s="6">
        <v>48443.0</v>
      </c>
      <c r="M64" s="4">
        <v>4.230115236591E12</v>
      </c>
      <c r="N64" s="6">
        <v>34331.0</v>
      </c>
      <c r="O64" s="4" t="s">
        <v>330</v>
      </c>
      <c r="P64" s="4" t="s">
        <v>545</v>
      </c>
      <c r="Q64" s="4" t="s">
        <v>52</v>
      </c>
      <c r="R64" s="7" t="s">
        <v>546</v>
      </c>
      <c r="S64" s="7" t="s">
        <v>546</v>
      </c>
      <c r="V64" s="4" t="s">
        <v>547</v>
      </c>
      <c r="W64" s="4">
        <v>4.230163286303E12</v>
      </c>
      <c r="X64" s="4" t="s">
        <v>40</v>
      </c>
      <c r="Y64" s="7" t="s">
        <v>548</v>
      </c>
      <c r="Z64" s="4" t="s">
        <v>549</v>
      </c>
      <c r="AA64" s="4" t="s">
        <v>550</v>
      </c>
      <c r="AB64" s="8"/>
    </row>
    <row r="65" ht="22.5" customHeight="1">
      <c r="A65" s="3">
        <v>46192.9939538426</v>
      </c>
      <c r="B65" s="4">
        <v>3.0</v>
      </c>
      <c r="C65" s="5" t="str">
        <f>IFERROR(__xludf.DUMMYFUNCTION("""COMPUTED_VALUE"""),"L18")</f>
        <v>L18</v>
      </c>
      <c r="D65" s="4" t="s">
        <v>551</v>
      </c>
      <c r="E65" s="4" t="s">
        <v>552</v>
      </c>
      <c r="F65" s="4" t="s">
        <v>45</v>
      </c>
      <c r="G65" s="4" t="s">
        <v>553</v>
      </c>
      <c r="H65" s="4" t="s">
        <v>554</v>
      </c>
      <c r="I65" s="4" t="s">
        <v>555</v>
      </c>
      <c r="J65" s="4" t="s">
        <v>33</v>
      </c>
      <c r="K65" s="4" t="s">
        <v>556</v>
      </c>
      <c r="L65" s="6">
        <v>46776.0</v>
      </c>
      <c r="M65" s="4" t="s">
        <v>557</v>
      </c>
      <c r="N65" s="6">
        <v>32320.0</v>
      </c>
      <c r="O65" s="4" t="s">
        <v>148</v>
      </c>
      <c r="P65" s="4" t="s">
        <v>558</v>
      </c>
      <c r="Q65" s="4" t="s">
        <v>37</v>
      </c>
      <c r="R65" s="7" t="s">
        <v>559</v>
      </c>
      <c r="S65" s="7" t="s">
        <v>559</v>
      </c>
      <c r="V65" s="4" t="s">
        <v>560</v>
      </c>
      <c r="W65" s="4">
        <v>4.220121740939E12</v>
      </c>
      <c r="X65" s="4" t="s">
        <v>561</v>
      </c>
      <c r="Y65" s="7" t="s">
        <v>562</v>
      </c>
      <c r="Z65" s="4" t="s">
        <v>563</v>
      </c>
      <c r="AA65" s="4" t="s">
        <v>564</v>
      </c>
      <c r="AB65" s="8"/>
    </row>
    <row r="66" ht="22.5" customHeight="1">
      <c r="A66" s="3">
        <v>46192.996960856486</v>
      </c>
      <c r="B66" s="4">
        <v>2.0</v>
      </c>
      <c r="C66" s="5" t="str">
        <f>IFERROR(__xludf.DUMMYFUNCTION("""COMPUTED_VALUE"""),"S9")</f>
        <v>S9</v>
      </c>
      <c r="D66" s="4">
        <v>4.230115236591E12</v>
      </c>
      <c r="E66" s="4" t="s">
        <v>540</v>
      </c>
      <c r="F66" s="4" t="s">
        <v>29</v>
      </c>
      <c r="G66" s="4" t="s">
        <v>565</v>
      </c>
      <c r="H66" s="4" t="s">
        <v>566</v>
      </c>
      <c r="I66" s="4" t="s">
        <v>567</v>
      </c>
      <c r="J66" s="4" t="s">
        <v>60</v>
      </c>
      <c r="K66" s="4" t="s">
        <v>568</v>
      </c>
      <c r="L66" s="6">
        <v>48444.0</v>
      </c>
      <c r="M66" s="4">
        <v>4.230177644938E12</v>
      </c>
      <c r="N66" s="6">
        <v>36385.0</v>
      </c>
      <c r="O66" s="4" t="s">
        <v>493</v>
      </c>
      <c r="P66" s="4" t="s">
        <v>545</v>
      </c>
      <c r="Q66" s="4" t="s">
        <v>52</v>
      </c>
      <c r="R66" s="7" t="s">
        <v>546</v>
      </c>
      <c r="S66" s="7" t="s">
        <v>546</v>
      </c>
      <c r="T66" s="4" t="s">
        <v>567</v>
      </c>
      <c r="U66" s="4" t="s">
        <v>65</v>
      </c>
      <c r="V66" s="4" t="s">
        <v>543</v>
      </c>
      <c r="W66" s="4">
        <v>4.230163286303E12</v>
      </c>
      <c r="X66" s="4" t="s">
        <v>569</v>
      </c>
      <c r="Y66" s="7" t="s">
        <v>548</v>
      </c>
      <c r="Z66" s="4" t="s">
        <v>549</v>
      </c>
      <c r="AA66" s="4" t="s">
        <v>550</v>
      </c>
      <c r="AB66" s="8"/>
    </row>
    <row r="67" ht="22.5" customHeight="1">
      <c r="A67" s="3">
        <v>46192.99696913194</v>
      </c>
      <c r="B67" s="4">
        <v>2.0</v>
      </c>
      <c r="C67" s="5" t="str">
        <f>IFERROR(__xludf.DUMMYFUNCTION("""COMPUTED_VALUE"""),"S10")</f>
        <v>S10</v>
      </c>
      <c r="D67" s="4">
        <v>4.240101194455E12</v>
      </c>
      <c r="E67" s="4" t="s">
        <v>570</v>
      </c>
      <c r="F67" s="4" t="s">
        <v>29</v>
      </c>
      <c r="G67" s="4" t="s">
        <v>571</v>
      </c>
      <c r="H67" s="4" t="s">
        <v>572</v>
      </c>
      <c r="I67" s="4" t="s">
        <v>573</v>
      </c>
      <c r="J67" s="4" t="s">
        <v>33</v>
      </c>
      <c r="K67" s="4" t="s">
        <v>574</v>
      </c>
      <c r="L67" s="6">
        <v>47817.0</v>
      </c>
      <c r="M67" s="4">
        <v>4.240101194455E12</v>
      </c>
      <c r="N67" s="6">
        <v>35936.0</v>
      </c>
      <c r="O67" s="4" t="s">
        <v>35</v>
      </c>
      <c r="P67" s="4" t="s">
        <v>575</v>
      </c>
      <c r="Q67" s="4" t="s">
        <v>52</v>
      </c>
      <c r="R67" s="7" t="s">
        <v>576</v>
      </c>
      <c r="S67" s="7" t="s">
        <v>576</v>
      </c>
      <c r="V67" s="4" t="s">
        <v>577</v>
      </c>
      <c r="W67" s="4">
        <v>4.240117189081E12</v>
      </c>
      <c r="X67" s="4" t="s">
        <v>40</v>
      </c>
      <c r="Y67" s="7" t="s">
        <v>578</v>
      </c>
      <c r="Z67" s="4" t="s">
        <v>579</v>
      </c>
      <c r="AA67" s="4" t="s">
        <v>570</v>
      </c>
      <c r="AB67" s="8"/>
    </row>
    <row r="68" ht="22.5" customHeight="1">
      <c r="A68" s="3">
        <v>46193.00172128472</v>
      </c>
      <c r="B68" s="4">
        <v>3.0</v>
      </c>
      <c r="C68" s="5" t="str">
        <f>IFERROR(__xludf.DUMMYFUNCTION("""COMPUTED_VALUE"""),"L18")</f>
        <v>L18</v>
      </c>
      <c r="D68" s="4">
        <v>4.200036456327E12</v>
      </c>
      <c r="E68" s="4" t="s">
        <v>552</v>
      </c>
      <c r="F68" s="4" t="s">
        <v>45</v>
      </c>
      <c r="G68" s="4" t="s">
        <v>580</v>
      </c>
      <c r="H68" s="4" t="s">
        <v>580</v>
      </c>
      <c r="I68" s="4" t="s">
        <v>581</v>
      </c>
      <c r="J68" s="4" t="s">
        <v>60</v>
      </c>
      <c r="K68" s="4" t="s">
        <v>582</v>
      </c>
      <c r="L68" s="6">
        <v>46755.0</v>
      </c>
      <c r="M68" s="4" t="s">
        <v>583</v>
      </c>
      <c r="N68" s="6">
        <v>25182.0</v>
      </c>
      <c r="O68" s="4" t="s">
        <v>584</v>
      </c>
      <c r="P68" s="4" t="s">
        <v>558</v>
      </c>
      <c r="Q68" s="4" t="s">
        <v>37</v>
      </c>
      <c r="R68" s="7" t="s">
        <v>585</v>
      </c>
      <c r="S68" s="7" t="s">
        <v>585</v>
      </c>
      <c r="T68" s="4" t="s">
        <v>586</v>
      </c>
      <c r="U68" s="4" t="s">
        <v>498</v>
      </c>
      <c r="V68" s="4" t="s">
        <v>560</v>
      </c>
      <c r="W68" s="4">
        <v>4.220121740939E12</v>
      </c>
      <c r="X68" s="4" t="s">
        <v>587</v>
      </c>
      <c r="Y68" s="7" t="s">
        <v>562</v>
      </c>
      <c r="Z68" s="4" t="s">
        <v>588</v>
      </c>
      <c r="AA68" s="4" t="s">
        <v>589</v>
      </c>
      <c r="AB68" s="8"/>
    </row>
    <row r="69" ht="22.5" customHeight="1">
      <c r="A69" s="3">
        <v>46193.00248934027</v>
      </c>
      <c r="B69" s="4">
        <v>2.0</v>
      </c>
      <c r="C69" s="5" t="str">
        <f>IFERROR(__xludf.DUMMYFUNCTION("""COMPUTED_VALUE"""),"S10")</f>
        <v>S10</v>
      </c>
      <c r="D69" s="4">
        <v>4.240101194455E12</v>
      </c>
      <c r="E69" s="4" t="s">
        <v>570</v>
      </c>
      <c r="F69" s="4" t="s">
        <v>29</v>
      </c>
      <c r="G69" s="4" t="s">
        <v>590</v>
      </c>
      <c r="H69" s="4" t="s">
        <v>591</v>
      </c>
      <c r="I69" s="4" t="s">
        <v>592</v>
      </c>
      <c r="J69" s="4" t="s">
        <v>60</v>
      </c>
      <c r="K69" s="4" t="s">
        <v>593</v>
      </c>
      <c r="L69" s="6">
        <v>47813.0</v>
      </c>
      <c r="M69" s="4">
        <v>4.210176108902E12</v>
      </c>
      <c r="N69" s="6">
        <v>36668.0</v>
      </c>
      <c r="O69" s="4" t="s">
        <v>160</v>
      </c>
      <c r="P69" s="4" t="s">
        <v>575</v>
      </c>
      <c r="Q69" s="4" t="s">
        <v>133</v>
      </c>
      <c r="R69" s="7" t="s">
        <v>594</v>
      </c>
      <c r="S69" s="7" t="s">
        <v>594</v>
      </c>
      <c r="T69" s="4" t="s">
        <v>570</v>
      </c>
      <c r="U69" s="4" t="s">
        <v>193</v>
      </c>
      <c r="V69" s="4" t="s">
        <v>592</v>
      </c>
      <c r="W69" s="4">
        <v>4.240101194455E12</v>
      </c>
      <c r="X69" s="4" t="s">
        <v>193</v>
      </c>
      <c r="Y69" s="7" t="s">
        <v>576</v>
      </c>
      <c r="Z69" s="4" t="s">
        <v>579</v>
      </c>
      <c r="AA69" s="4" t="s">
        <v>570</v>
      </c>
      <c r="AB69" s="8"/>
    </row>
    <row r="70" ht="22.5" customHeight="1">
      <c r="A70" s="3">
        <v>46193.011260416664</v>
      </c>
      <c r="B70" s="4">
        <v>3.0</v>
      </c>
      <c r="C70" s="5" t="str">
        <f>IFERROR(__xludf.DUMMYFUNCTION("""COMPUTED_VALUE"""),"L18")</f>
        <v>L18</v>
      </c>
      <c r="D70" s="4" t="s">
        <v>551</v>
      </c>
      <c r="E70" s="4" t="s">
        <v>586</v>
      </c>
      <c r="F70" s="4" t="s">
        <v>45</v>
      </c>
      <c r="G70" s="4" t="s">
        <v>553</v>
      </c>
      <c r="H70" s="4" t="s">
        <v>595</v>
      </c>
      <c r="I70" s="4" t="s">
        <v>586</v>
      </c>
      <c r="J70" s="4" t="s">
        <v>60</v>
      </c>
      <c r="K70" s="4" t="s">
        <v>596</v>
      </c>
      <c r="L70" s="6">
        <v>48853.0</v>
      </c>
      <c r="M70" s="4" t="s">
        <v>597</v>
      </c>
      <c r="N70" s="6">
        <v>33691.0</v>
      </c>
      <c r="O70" s="4" t="s">
        <v>584</v>
      </c>
      <c r="P70" s="4" t="s">
        <v>558</v>
      </c>
      <c r="Q70" s="4" t="s">
        <v>37</v>
      </c>
      <c r="R70" s="4" t="s">
        <v>598</v>
      </c>
      <c r="S70" s="4" t="s">
        <v>598</v>
      </c>
      <c r="T70" s="4" t="s">
        <v>586</v>
      </c>
      <c r="U70" s="4" t="s">
        <v>67</v>
      </c>
      <c r="V70" s="4" t="s">
        <v>560</v>
      </c>
      <c r="W70" s="4">
        <v>4.220121740939E12</v>
      </c>
      <c r="X70" s="4" t="s">
        <v>599</v>
      </c>
      <c r="Y70" s="7" t="s">
        <v>562</v>
      </c>
      <c r="Z70" s="4" t="s">
        <v>600</v>
      </c>
      <c r="AA70" s="4" t="s">
        <v>601</v>
      </c>
      <c r="AB70" s="8"/>
    </row>
    <row r="71" ht="22.5" customHeight="1">
      <c r="A71" s="3">
        <v>46193.03636052083</v>
      </c>
      <c r="B71" s="4">
        <v>4.0</v>
      </c>
      <c r="C71" s="5" t="str">
        <f>IFERROR(__xludf.DUMMYFUNCTION("""COMPUTED_VALUE"""),"L19")</f>
        <v>L19</v>
      </c>
      <c r="D71" s="4" t="s">
        <v>602</v>
      </c>
      <c r="E71" s="4" t="s">
        <v>603</v>
      </c>
      <c r="F71" s="4" t="s">
        <v>45</v>
      </c>
      <c r="G71" s="4" t="s">
        <v>604</v>
      </c>
      <c r="H71" s="4" t="s">
        <v>605</v>
      </c>
      <c r="I71" s="4" t="s">
        <v>606</v>
      </c>
      <c r="J71" s="4" t="s">
        <v>33</v>
      </c>
      <c r="K71" s="4" t="s">
        <v>607</v>
      </c>
      <c r="L71" s="6">
        <v>49590.0</v>
      </c>
      <c r="M71" s="4" t="s">
        <v>602</v>
      </c>
      <c r="N71" s="6">
        <v>27359.0</v>
      </c>
      <c r="O71" s="4" t="s">
        <v>608</v>
      </c>
      <c r="P71" s="4" t="s">
        <v>609</v>
      </c>
      <c r="Q71" s="4" t="s">
        <v>133</v>
      </c>
      <c r="R71" s="7" t="s">
        <v>610</v>
      </c>
      <c r="S71" s="7" t="s">
        <v>610</v>
      </c>
      <c r="V71" s="4" t="s">
        <v>611</v>
      </c>
      <c r="W71" s="4" t="s">
        <v>612</v>
      </c>
      <c r="X71" s="4" t="s">
        <v>40</v>
      </c>
      <c r="Y71" s="7" t="s">
        <v>613</v>
      </c>
    </row>
    <row r="72" ht="22.5" customHeight="1">
      <c r="A72" s="3">
        <v>46193.04262075231</v>
      </c>
      <c r="B72" s="4">
        <v>4.0</v>
      </c>
      <c r="C72" s="5" t="str">
        <f>IFERROR(__xludf.DUMMYFUNCTION("""COMPUTED_VALUE"""),"L19")</f>
        <v>L19</v>
      </c>
      <c r="D72" s="4" t="s">
        <v>602</v>
      </c>
      <c r="E72" s="4" t="s">
        <v>614</v>
      </c>
      <c r="F72" s="4" t="s">
        <v>45</v>
      </c>
      <c r="G72" s="4" t="s">
        <v>615</v>
      </c>
      <c r="H72" s="4" t="s">
        <v>616</v>
      </c>
      <c r="I72" s="4" t="s">
        <v>614</v>
      </c>
      <c r="J72" s="4" t="s">
        <v>60</v>
      </c>
      <c r="K72" s="4" t="s">
        <v>617</v>
      </c>
      <c r="L72" s="6">
        <v>49590.0</v>
      </c>
      <c r="M72" s="4" t="s">
        <v>618</v>
      </c>
      <c r="N72" s="6">
        <v>29473.0</v>
      </c>
      <c r="O72" s="4" t="s">
        <v>619</v>
      </c>
      <c r="P72" s="4" t="s">
        <v>620</v>
      </c>
      <c r="Q72" s="4" t="s">
        <v>119</v>
      </c>
      <c r="R72" s="7" t="s">
        <v>621</v>
      </c>
      <c r="S72" s="7" t="s">
        <v>621</v>
      </c>
      <c r="T72" s="4" t="s">
        <v>614</v>
      </c>
      <c r="U72" s="4" t="s">
        <v>193</v>
      </c>
      <c r="V72" s="4" t="s">
        <v>611</v>
      </c>
      <c r="W72" s="4" t="s">
        <v>612</v>
      </c>
      <c r="X72" s="4" t="s">
        <v>209</v>
      </c>
      <c r="Y72" s="7" t="s">
        <v>613</v>
      </c>
    </row>
    <row r="73" ht="22.5" customHeight="1">
      <c r="A73" s="3">
        <v>46193.04607251157</v>
      </c>
      <c r="B73" s="4">
        <v>4.0</v>
      </c>
      <c r="C73" s="5" t="str">
        <f>IFERROR(__xludf.DUMMYFUNCTION("""COMPUTED_VALUE"""),"L19")</f>
        <v>L19</v>
      </c>
      <c r="D73" s="4" t="s">
        <v>602</v>
      </c>
      <c r="E73" s="4" t="s">
        <v>614</v>
      </c>
      <c r="F73" s="4" t="s">
        <v>45</v>
      </c>
      <c r="G73" s="4" t="s">
        <v>604</v>
      </c>
      <c r="H73" s="4" t="s">
        <v>622</v>
      </c>
      <c r="I73" s="4" t="s">
        <v>614</v>
      </c>
      <c r="J73" s="4" t="s">
        <v>33</v>
      </c>
      <c r="K73" s="4" t="s">
        <v>623</v>
      </c>
      <c r="L73" s="6">
        <v>49590.0</v>
      </c>
      <c r="M73" s="4" t="s">
        <v>624</v>
      </c>
      <c r="N73" s="6">
        <v>38345.0</v>
      </c>
      <c r="O73" s="4" t="s">
        <v>619</v>
      </c>
      <c r="P73" s="4" t="s">
        <v>620</v>
      </c>
      <c r="Q73" s="4" t="s">
        <v>133</v>
      </c>
      <c r="R73" s="7" t="s">
        <v>625</v>
      </c>
      <c r="S73" s="7" t="s">
        <v>625</v>
      </c>
      <c r="V73" s="4" t="s">
        <v>611</v>
      </c>
      <c r="W73" s="4" t="s">
        <v>612</v>
      </c>
      <c r="X73" s="4" t="s">
        <v>626</v>
      </c>
      <c r="Y73" s="7" t="s">
        <v>613</v>
      </c>
    </row>
    <row r="74" ht="22.5" customHeight="1">
      <c r="A74" s="3">
        <v>46193.04973372685</v>
      </c>
      <c r="B74" s="4">
        <v>4.0</v>
      </c>
      <c r="C74" s="5" t="str">
        <f>IFERROR(__xludf.DUMMYFUNCTION("""COMPUTED_VALUE"""),"L19")</f>
        <v>L19</v>
      </c>
      <c r="D74" s="4" t="s">
        <v>602</v>
      </c>
      <c r="E74" s="4" t="s">
        <v>614</v>
      </c>
      <c r="F74" s="4" t="s">
        <v>45</v>
      </c>
      <c r="G74" s="4" t="s">
        <v>604</v>
      </c>
      <c r="H74" s="4" t="s">
        <v>627</v>
      </c>
      <c r="I74" s="4" t="s">
        <v>614</v>
      </c>
      <c r="J74" s="4" t="s">
        <v>60</v>
      </c>
      <c r="K74" s="4" t="s">
        <v>628</v>
      </c>
      <c r="L74" s="6">
        <v>47763.0</v>
      </c>
      <c r="M74" s="4" t="s">
        <v>629</v>
      </c>
      <c r="N74" s="6">
        <v>39886.0</v>
      </c>
      <c r="O74" s="4" t="s">
        <v>619</v>
      </c>
      <c r="P74" s="4" t="s">
        <v>620</v>
      </c>
      <c r="Q74" s="4" t="s">
        <v>133</v>
      </c>
      <c r="R74" s="7" t="s">
        <v>610</v>
      </c>
      <c r="S74" s="7" t="s">
        <v>610</v>
      </c>
      <c r="T74" s="4" t="s">
        <v>614</v>
      </c>
      <c r="U74" s="4" t="s">
        <v>630</v>
      </c>
      <c r="V74" s="4" t="s">
        <v>611</v>
      </c>
      <c r="W74" s="4" t="s">
        <v>612</v>
      </c>
      <c r="X74" s="4" t="s">
        <v>631</v>
      </c>
      <c r="Y74" s="7" t="s">
        <v>613</v>
      </c>
    </row>
    <row r="75" ht="22.5" customHeight="1">
      <c r="A75" s="3">
        <v>46193.0546515162</v>
      </c>
      <c r="B75" s="4" t="s">
        <v>632</v>
      </c>
      <c r="C75" s="5" t="str">
        <f>IFERROR(__xludf.DUMMYFUNCTION("""COMPUTED_VALUE"""),"L20")</f>
        <v>L20</v>
      </c>
      <c r="D75" s="4" t="s">
        <v>633</v>
      </c>
      <c r="E75" s="4" t="s">
        <v>634</v>
      </c>
      <c r="F75" s="4" t="s">
        <v>45</v>
      </c>
      <c r="G75" s="4" t="s">
        <v>635</v>
      </c>
      <c r="H75" s="4" t="s">
        <v>30</v>
      </c>
      <c r="I75" s="4" t="s">
        <v>636</v>
      </c>
      <c r="J75" s="4" t="s">
        <v>33</v>
      </c>
      <c r="K75" s="4" t="s">
        <v>637</v>
      </c>
      <c r="L75" s="6">
        <v>49348.0</v>
      </c>
      <c r="M75" s="4" t="s">
        <v>633</v>
      </c>
      <c r="N75" s="6">
        <v>28224.0</v>
      </c>
      <c r="O75" s="4" t="s">
        <v>177</v>
      </c>
      <c r="P75" s="4" t="s">
        <v>638</v>
      </c>
      <c r="Q75" s="4" t="s">
        <v>133</v>
      </c>
      <c r="R75" s="7" t="s">
        <v>639</v>
      </c>
      <c r="S75" s="7" t="s">
        <v>639</v>
      </c>
      <c r="V75" s="4" t="s">
        <v>640</v>
      </c>
      <c r="W75" s="4" t="s">
        <v>641</v>
      </c>
      <c r="X75" s="4" t="s">
        <v>310</v>
      </c>
      <c r="Y75" s="7" t="s">
        <v>642</v>
      </c>
    </row>
    <row r="76" ht="22.5" customHeight="1">
      <c r="A76" s="3">
        <v>46193.06019387732</v>
      </c>
      <c r="B76" s="4">
        <v>5.0</v>
      </c>
      <c r="C76" s="5" t="str">
        <f>IFERROR(__xludf.DUMMYFUNCTION("""COMPUTED_VALUE"""),"L20")</f>
        <v>L20</v>
      </c>
      <c r="D76" s="4" t="s">
        <v>633</v>
      </c>
      <c r="E76" s="4" t="s">
        <v>643</v>
      </c>
      <c r="F76" s="4" t="s">
        <v>45</v>
      </c>
      <c r="G76" s="4" t="s">
        <v>635</v>
      </c>
      <c r="H76" s="4" t="s">
        <v>644</v>
      </c>
      <c r="I76" s="4" t="s">
        <v>643</v>
      </c>
      <c r="J76" s="4" t="s">
        <v>60</v>
      </c>
      <c r="K76" s="4" t="s">
        <v>645</v>
      </c>
      <c r="L76" s="6">
        <v>46873.0</v>
      </c>
      <c r="M76" s="4" t="s">
        <v>646</v>
      </c>
      <c r="N76" s="6">
        <v>38183.0</v>
      </c>
      <c r="O76" s="4" t="s">
        <v>330</v>
      </c>
      <c r="P76" s="4" t="s">
        <v>647</v>
      </c>
      <c r="Q76" s="4" t="s">
        <v>133</v>
      </c>
      <c r="R76" s="4" t="s">
        <v>648</v>
      </c>
      <c r="S76" s="4" t="s">
        <v>648</v>
      </c>
      <c r="T76" s="4" t="s">
        <v>643</v>
      </c>
      <c r="U76" s="4" t="s">
        <v>40</v>
      </c>
      <c r="V76" s="4" t="s">
        <v>649</v>
      </c>
      <c r="W76" s="4" t="s">
        <v>641</v>
      </c>
      <c r="X76" s="4" t="s">
        <v>650</v>
      </c>
      <c r="Y76" s="4" t="s">
        <v>650</v>
      </c>
    </row>
    <row r="77" ht="22.5" customHeight="1">
      <c r="A77" s="3">
        <v>46193.061676956015</v>
      </c>
      <c r="B77" s="4" t="s">
        <v>651</v>
      </c>
      <c r="C77" s="5" t="str">
        <f>IFERROR(__xludf.DUMMYFUNCTION("""COMPUTED_VALUE"""),"L20")</f>
        <v>L20</v>
      </c>
      <c r="D77" s="4" t="s">
        <v>633</v>
      </c>
      <c r="E77" s="4" t="s">
        <v>634</v>
      </c>
      <c r="F77" s="4" t="s">
        <v>45</v>
      </c>
      <c r="G77" s="4" t="s">
        <v>652</v>
      </c>
      <c r="H77" s="4" t="s">
        <v>653</v>
      </c>
      <c r="I77" s="4" t="s">
        <v>634</v>
      </c>
      <c r="J77" s="4" t="s">
        <v>60</v>
      </c>
      <c r="K77" s="4" t="s">
        <v>654</v>
      </c>
      <c r="L77" s="6">
        <v>49348.0</v>
      </c>
      <c r="M77" s="4" t="s">
        <v>655</v>
      </c>
      <c r="N77" s="6">
        <v>31002.0</v>
      </c>
      <c r="O77" s="4" t="s">
        <v>529</v>
      </c>
      <c r="P77" s="4" t="s">
        <v>638</v>
      </c>
      <c r="Q77" s="4" t="s">
        <v>133</v>
      </c>
      <c r="R77" s="7" t="s">
        <v>656</v>
      </c>
      <c r="S77" s="7" t="s">
        <v>656</v>
      </c>
      <c r="T77" s="4" t="s">
        <v>634</v>
      </c>
      <c r="U77" s="4" t="s">
        <v>193</v>
      </c>
      <c r="V77" s="4" t="s">
        <v>640</v>
      </c>
      <c r="W77" s="4" t="s">
        <v>641</v>
      </c>
      <c r="X77" s="4" t="s">
        <v>163</v>
      </c>
      <c r="Y77" s="7" t="s">
        <v>642</v>
      </c>
    </row>
    <row r="78" ht="22.5" customHeight="1">
      <c r="A78" s="3">
        <v>46193.06321113426</v>
      </c>
      <c r="B78" s="4">
        <v>5.0</v>
      </c>
      <c r="C78" s="5" t="str">
        <f>IFERROR(__xludf.DUMMYFUNCTION("""COMPUTED_VALUE"""),"L20")</f>
        <v>L20</v>
      </c>
      <c r="D78" s="4" t="s">
        <v>633</v>
      </c>
      <c r="E78" s="4" t="s">
        <v>643</v>
      </c>
      <c r="F78" s="4" t="s">
        <v>45</v>
      </c>
      <c r="G78" s="4" t="s">
        <v>652</v>
      </c>
      <c r="H78" s="4" t="s">
        <v>657</v>
      </c>
      <c r="I78" s="4" t="s">
        <v>643</v>
      </c>
      <c r="J78" s="4" t="s">
        <v>60</v>
      </c>
      <c r="K78" s="4" t="s">
        <v>658</v>
      </c>
      <c r="L78" s="6">
        <v>46873.0</v>
      </c>
      <c r="M78" s="4" t="s">
        <v>659</v>
      </c>
      <c r="N78" s="6">
        <v>39146.0</v>
      </c>
      <c r="O78" s="4" t="s">
        <v>330</v>
      </c>
      <c r="P78" s="4" t="s">
        <v>660</v>
      </c>
      <c r="Q78" s="4" t="s">
        <v>133</v>
      </c>
      <c r="R78" s="7" t="s">
        <v>661</v>
      </c>
      <c r="S78" s="7" t="s">
        <v>661</v>
      </c>
      <c r="T78" s="4" t="s">
        <v>643</v>
      </c>
      <c r="U78" s="4" t="s">
        <v>630</v>
      </c>
      <c r="V78" s="4" t="s">
        <v>649</v>
      </c>
      <c r="W78" s="4" t="s">
        <v>641</v>
      </c>
      <c r="X78" s="4" t="s">
        <v>650</v>
      </c>
      <c r="Y78" s="7" t="s">
        <v>642</v>
      </c>
    </row>
    <row r="79" ht="22.5" customHeight="1">
      <c r="A79" s="3">
        <v>46193.06669262731</v>
      </c>
      <c r="B79" s="4" t="s">
        <v>651</v>
      </c>
      <c r="C79" s="5" t="str">
        <f>IFERROR(__xludf.DUMMYFUNCTION("""COMPUTED_VALUE"""),"L20")</f>
        <v>L20</v>
      </c>
      <c r="D79" s="4" t="s">
        <v>633</v>
      </c>
      <c r="E79" s="4" t="s">
        <v>662</v>
      </c>
      <c r="F79" s="4" t="s">
        <v>45</v>
      </c>
      <c r="G79" s="4" t="s">
        <v>635</v>
      </c>
      <c r="H79" s="4" t="s">
        <v>663</v>
      </c>
      <c r="I79" s="4" t="s">
        <v>634</v>
      </c>
      <c r="J79" s="4" t="s">
        <v>60</v>
      </c>
      <c r="K79" s="4" t="s">
        <v>664</v>
      </c>
      <c r="L79" s="6">
        <v>47522.0</v>
      </c>
      <c r="M79" s="4" t="s">
        <v>665</v>
      </c>
      <c r="N79" s="6">
        <v>41250.0</v>
      </c>
      <c r="O79" s="4" t="s">
        <v>177</v>
      </c>
      <c r="P79" s="4" t="s">
        <v>638</v>
      </c>
      <c r="Q79" s="4" t="s">
        <v>37</v>
      </c>
      <c r="R79" s="7" t="s">
        <v>666</v>
      </c>
      <c r="S79" s="7" t="s">
        <v>656</v>
      </c>
      <c r="T79" s="4" t="s">
        <v>634</v>
      </c>
      <c r="U79" s="4" t="s">
        <v>667</v>
      </c>
      <c r="V79" s="4" t="s">
        <v>640</v>
      </c>
      <c r="W79" s="4" t="s">
        <v>641</v>
      </c>
      <c r="X79" s="4" t="s">
        <v>668</v>
      </c>
      <c r="Y79" s="7" t="s">
        <v>642</v>
      </c>
    </row>
    <row r="80" ht="22.5" customHeight="1">
      <c r="A80" s="3">
        <v>46193.07916565972</v>
      </c>
      <c r="B80" s="4" t="s">
        <v>143</v>
      </c>
      <c r="C80" s="5" t="str">
        <f>IFERROR(__xludf.DUMMYFUNCTION("""COMPUTED_VALUE"""),"S11")</f>
        <v>S11</v>
      </c>
      <c r="D80" s="4">
        <v>4.230179611655E12</v>
      </c>
      <c r="E80" s="4" t="s">
        <v>669</v>
      </c>
      <c r="F80" s="4" t="s">
        <v>29</v>
      </c>
      <c r="G80" s="4" t="s">
        <v>670</v>
      </c>
      <c r="H80" s="4" t="s">
        <v>671</v>
      </c>
      <c r="I80" s="4" t="s">
        <v>672</v>
      </c>
      <c r="J80" s="4" t="s">
        <v>33</v>
      </c>
      <c r="K80" s="4" t="s">
        <v>673</v>
      </c>
      <c r="M80" s="4">
        <v>4.230179611655E12</v>
      </c>
      <c r="N80" s="6">
        <v>34748.0</v>
      </c>
      <c r="O80" s="4" t="s">
        <v>674</v>
      </c>
      <c r="P80" s="4" t="s">
        <v>675</v>
      </c>
      <c r="Q80" s="4" t="s">
        <v>37</v>
      </c>
      <c r="R80" s="7" t="s">
        <v>676</v>
      </c>
      <c r="S80" s="7" t="s">
        <v>676</v>
      </c>
      <c r="V80" s="4" t="s">
        <v>677</v>
      </c>
      <c r="W80" s="4">
        <v>4.230108038179E12</v>
      </c>
      <c r="X80" s="4" t="s">
        <v>40</v>
      </c>
      <c r="Y80" s="7" t="s">
        <v>678</v>
      </c>
      <c r="Z80" s="4" t="s">
        <v>679</v>
      </c>
      <c r="AA80" s="4" t="s">
        <v>669</v>
      </c>
      <c r="AB80" s="8"/>
    </row>
    <row r="81" ht="22.5" customHeight="1">
      <c r="A81" s="3">
        <v>46193.085003506945</v>
      </c>
      <c r="B81" s="4" t="s">
        <v>143</v>
      </c>
      <c r="C81" s="5" t="str">
        <f>IFERROR(__xludf.DUMMYFUNCTION("""COMPUTED_VALUE"""),"S11")</f>
        <v>S11</v>
      </c>
      <c r="D81" s="4">
        <v>4.230179611655E12</v>
      </c>
      <c r="E81" s="4" t="s">
        <v>669</v>
      </c>
      <c r="F81" s="4" t="s">
        <v>29</v>
      </c>
      <c r="G81" s="4" t="s">
        <v>680</v>
      </c>
      <c r="H81" s="4" t="s">
        <v>681</v>
      </c>
      <c r="I81" s="4" t="s">
        <v>669</v>
      </c>
      <c r="J81" s="4" t="s">
        <v>60</v>
      </c>
      <c r="K81" s="4" t="s">
        <v>682</v>
      </c>
      <c r="M81" s="4">
        <v>4.210111439162E12</v>
      </c>
      <c r="N81" s="6">
        <v>36561.0</v>
      </c>
      <c r="O81" s="4" t="s">
        <v>674</v>
      </c>
      <c r="P81" s="4" t="s">
        <v>675</v>
      </c>
      <c r="Q81" s="4" t="s">
        <v>37</v>
      </c>
      <c r="R81" s="7" t="s">
        <v>683</v>
      </c>
      <c r="S81" s="7" t="s">
        <v>683</v>
      </c>
      <c r="T81" s="4" t="s">
        <v>669</v>
      </c>
      <c r="U81" s="4" t="s">
        <v>65</v>
      </c>
      <c r="V81" s="4" t="s">
        <v>684</v>
      </c>
      <c r="W81" s="4">
        <v>4.210118222633E12</v>
      </c>
      <c r="X81" s="4" t="s">
        <v>40</v>
      </c>
      <c r="Y81" s="7" t="s">
        <v>685</v>
      </c>
      <c r="Z81" s="4" t="s">
        <v>679</v>
      </c>
      <c r="AA81" s="4" t="s">
        <v>686</v>
      </c>
      <c r="AB81" s="8"/>
    </row>
    <row r="82" ht="22.5" customHeight="1">
      <c r="A82" s="3">
        <v>46193.10143800926</v>
      </c>
      <c r="B82" s="4">
        <v>2.0</v>
      </c>
      <c r="C82" s="5" t="str">
        <f>IFERROR(__xludf.DUMMYFUNCTION("""COMPUTED_VALUE"""),"S12")</f>
        <v>S12</v>
      </c>
      <c r="D82" s="4">
        <v>4.230192915529E12</v>
      </c>
      <c r="E82" s="4" t="s">
        <v>687</v>
      </c>
      <c r="F82" s="4" t="s">
        <v>29</v>
      </c>
      <c r="G82" s="4" t="s">
        <v>688</v>
      </c>
      <c r="H82" s="4" t="s">
        <v>31</v>
      </c>
      <c r="I82" s="4" t="s">
        <v>517</v>
      </c>
      <c r="J82" s="4" t="s">
        <v>33</v>
      </c>
      <c r="K82" s="4" t="s">
        <v>689</v>
      </c>
      <c r="L82" s="6">
        <v>47366.0</v>
      </c>
      <c r="M82" s="4">
        <v>4.230192915529E12</v>
      </c>
      <c r="N82" s="6">
        <v>33898.0</v>
      </c>
      <c r="O82" s="4" t="s">
        <v>690</v>
      </c>
      <c r="P82" s="4" t="s">
        <v>691</v>
      </c>
      <c r="Q82" s="4" t="s">
        <v>37</v>
      </c>
      <c r="R82" s="7" t="s">
        <v>692</v>
      </c>
      <c r="S82" s="7" t="s">
        <v>692</v>
      </c>
      <c r="T82" s="4" t="s">
        <v>690</v>
      </c>
      <c r="U82" s="4" t="s">
        <v>690</v>
      </c>
      <c r="V82" s="4" t="s">
        <v>693</v>
      </c>
      <c r="W82" s="4">
        <v>4.230101006493E12</v>
      </c>
      <c r="X82" s="4" t="s">
        <v>79</v>
      </c>
      <c r="Y82" s="7" t="s">
        <v>694</v>
      </c>
      <c r="Z82" s="4" t="s">
        <v>695</v>
      </c>
      <c r="AA82" s="4" t="s">
        <v>687</v>
      </c>
      <c r="AB82" s="8"/>
    </row>
    <row r="83" ht="22.5" customHeight="1">
      <c r="A83" s="3">
        <v>46193.107895520836</v>
      </c>
      <c r="B83" s="4">
        <v>2.0</v>
      </c>
      <c r="C83" s="5" t="str">
        <f>IFERROR(__xludf.DUMMYFUNCTION("""COMPUTED_VALUE"""),"S13")</f>
        <v>S13</v>
      </c>
      <c r="D83" s="4">
        <v>4.230131443647E12</v>
      </c>
      <c r="E83" s="4" t="s">
        <v>696</v>
      </c>
      <c r="F83" s="4" t="s">
        <v>29</v>
      </c>
      <c r="G83" s="4" t="s">
        <v>319</v>
      </c>
      <c r="H83" s="4" t="s">
        <v>697</v>
      </c>
      <c r="I83" s="4" t="s">
        <v>698</v>
      </c>
      <c r="J83" s="4" t="s">
        <v>33</v>
      </c>
      <c r="K83" s="4" t="s">
        <v>699</v>
      </c>
      <c r="L83" s="6">
        <v>48167.0</v>
      </c>
      <c r="M83" s="4">
        <v>4.230131443647E12</v>
      </c>
      <c r="N83" s="6">
        <v>32800.0</v>
      </c>
      <c r="O83" s="4" t="s">
        <v>690</v>
      </c>
      <c r="P83" s="4" t="s">
        <v>700</v>
      </c>
      <c r="Q83" s="4" t="s">
        <v>119</v>
      </c>
      <c r="R83" s="7" t="s">
        <v>701</v>
      </c>
      <c r="S83" s="7" t="s">
        <v>701</v>
      </c>
      <c r="V83" s="4" t="s">
        <v>702</v>
      </c>
      <c r="W83" s="4">
        <v>4.230191996081E12</v>
      </c>
      <c r="X83" s="4" t="s">
        <v>79</v>
      </c>
      <c r="Y83" s="7" t="s">
        <v>703</v>
      </c>
      <c r="Z83" s="4" t="s">
        <v>704</v>
      </c>
      <c r="AA83" s="4" t="s">
        <v>705</v>
      </c>
      <c r="AB83" s="8"/>
    </row>
    <row r="84" ht="22.5" customHeight="1">
      <c r="A84" s="3">
        <v>46193.115098368056</v>
      </c>
      <c r="B84" s="4">
        <v>2.0</v>
      </c>
      <c r="C84" s="5" t="str">
        <f>IFERROR(__xludf.DUMMYFUNCTION("""COMPUTED_VALUE"""),"S14")</f>
        <v>S14</v>
      </c>
      <c r="D84" s="4">
        <v>4.230167005921E12</v>
      </c>
      <c r="E84" s="4" t="s">
        <v>706</v>
      </c>
      <c r="F84" s="4" t="s">
        <v>29</v>
      </c>
      <c r="G84" s="4" t="s">
        <v>707</v>
      </c>
      <c r="H84" s="4" t="s">
        <v>31</v>
      </c>
      <c r="I84" s="4" t="s">
        <v>708</v>
      </c>
      <c r="J84" s="4" t="s">
        <v>33</v>
      </c>
      <c r="K84" s="4" t="s">
        <v>709</v>
      </c>
      <c r="L84" s="6">
        <v>49513.0</v>
      </c>
      <c r="M84" s="4">
        <v>4.230167005921E12</v>
      </c>
      <c r="N84" s="6">
        <v>32992.0</v>
      </c>
      <c r="O84" s="4" t="s">
        <v>690</v>
      </c>
      <c r="P84" s="4" t="s">
        <v>710</v>
      </c>
      <c r="Q84" s="4" t="s">
        <v>119</v>
      </c>
      <c r="R84" s="7" t="s">
        <v>711</v>
      </c>
      <c r="S84" s="7" t="s">
        <v>711</v>
      </c>
      <c r="V84" s="4" t="s">
        <v>712</v>
      </c>
      <c r="W84" s="4">
        <v>4.230107623873E12</v>
      </c>
      <c r="X84" s="4" t="s">
        <v>79</v>
      </c>
      <c r="Y84" s="7" t="s">
        <v>713</v>
      </c>
      <c r="Z84" s="4" t="s">
        <v>714</v>
      </c>
      <c r="AA84" s="4" t="s">
        <v>706</v>
      </c>
      <c r="AB84" s="8"/>
    </row>
    <row r="85" ht="22.5" customHeight="1">
      <c r="A85" s="3">
        <v>46193.124565185186</v>
      </c>
      <c r="B85" s="4">
        <v>2.0</v>
      </c>
      <c r="C85" s="5" t="str">
        <f>IFERROR(__xludf.DUMMYFUNCTION("""COMPUTED_VALUE"""),"S15")</f>
        <v>S15</v>
      </c>
      <c r="D85" s="4">
        <v>4.230108218765E12</v>
      </c>
      <c r="E85" s="4" t="s">
        <v>715</v>
      </c>
      <c r="F85" s="4" t="s">
        <v>29</v>
      </c>
      <c r="G85" s="4" t="s">
        <v>716</v>
      </c>
      <c r="H85" s="4" t="s">
        <v>717</v>
      </c>
      <c r="I85" s="4" t="s">
        <v>718</v>
      </c>
      <c r="J85" s="4" t="s">
        <v>33</v>
      </c>
      <c r="K85" s="4" t="s">
        <v>719</v>
      </c>
      <c r="L85" s="6">
        <v>49024.0</v>
      </c>
      <c r="M85" s="4">
        <v>4.230108218765E12</v>
      </c>
      <c r="N85" s="6">
        <v>35838.0</v>
      </c>
      <c r="O85" s="4" t="s">
        <v>690</v>
      </c>
      <c r="P85" s="4" t="s">
        <v>720</v>
      </c>
      <c r="Q85" s="4" t="s">
        <v>119</v>
      </c>
      <c r="R85" s="7" t="s">
        <v>721</v>
      </c>
      <c r="S85" s="7" t="s">
        <v>721</v>
      </c>
      <c r="V85" s="4" t="s">
        <v>718</v>
      </c>
      <c r="W85" s="4">
        <v>4.230110166303E12</v>
      </c>
      <c r="X85" s="4" t="s">
        <v>40</v>
      </c>
      <c r="Y85" s="7" t="s">
        <v>722</v>
      </c>
      <c r="Z85" s="4" t="s">
        <v>723</v>
      </c>
      <c r="AA85" s="4" t="s">
        <v>717</v>
      </c>
      <c r="AB85" s="8"/>
    </row>
    <row r="86" ht="22.5" customHeight="1">
      <c r="A86" s="3">
        <v>46193.16067096065</v>
      </c>
      <c r="B86" s="4">
        <v>2.0</v>
      </c>
      <c r="C86" s="5" t="str">
        <f>IFERROR(__xludf.DUMMYFUNCTION("""COMPUTED_VALUE"""),"S16")</f>
        <v>S16</v>
      </c>
      <c r="D86" s="4">
        <v>4.220121658541E12</v>
      </c>
      <c r="E86" s="4" t="s">
        <v>724</v>
      </c>
      <c r="F86" s="4" t="s">
        <v>29</v>
      </c>
      <c r="G86" s="4" t="s">
        <v>725</v>
      </c>
      <c r="H86" s="4" t="s">
        <v>724</v>
      </c>
      <c r="I86" s="4" t="s">
        <v>726</v>
      </c>
      <c r="J86" s="4" t="s">
        <v>33</v>
      </c>
      <c r="K86" s="4" t="s">
        <v>727</v>
      </c>
      <c r="L86" s="6">
        <v>47902.0</v>
      </c>
      <c r="M86" s="4">
        <v>4.220121658541E12</v>
      </c>
      <c r="N86" s="6">
        <v>35009.0</v>
      </c>
      <c r="O86" s="4" t="s">
        <v>728</v>
      </c>
      <c r="P86" s="4">
        <v>75290.0</v>
      </c>
      <c r="Q86" s="4" t="s">
        <v>52</v>
      </c>
      <c r="R86" s="7" t="s">
        <v>729</v>
      </c>
      <c r="S86" s="7" t="s">
        <v>730</v>
      </c>
      <c r="V86" s="4" t="s">
        <v>726</v>
      </c>
      <c r="W86" s="4" t="s">
        <v>731</v>
      </c>
      <c r="X86" s="4" t="s">
        <v>40</v>
      </c>
      <c r="Y86" s="7" t="s">
        <v>732</v>
      </c>
      <c r="Z86" s="4" t="s">
        <v>733</v>
      </c>
      <c r="AA86" s="4" t="s">
        <v>724</v>
      </c>
      <c r="AB86" s="8"/>
    </row>
    <row r="87" ht="22.5" customHeight="1">
      <c r="A87" s="3">
        <v>46193.166712199076</v>
      </c>
      <c r="B87" s="4">
        <v>2.0</v>
      </c>
      <c r="C87" s="5" t="str">
        <f>IFERROR(__xludf.DUMMYFUNCTION("""COMPUTED_VALUE"""),"S16")</f>
        <v>S16</v>
      </c>
      <c r="D87" s="4">
        <v>4.220121658541E12</v>
      </c>
      <c r="E87" s="4" t="s">
        <v>724</v>
      </c>
      <c r="F87" s="4" t="s">
        <v>29</v>
      </c>
      <c r="G87" s="4" t="s">
        <v>734</v>
      </c>
      <c r="H87" s="4" t="s">
        <v>735</v>
      </c>
      <c r="I87" s="4" t="s">
        <v>724</v>
      </c>
      <c r="J87" s="4" t="s">
        <v>60</v>
      </c>
      <c r="K87" s="4" t="s">
        <v>736</v>
      </c>
      <c r="L87" s="6">
        <v>47449.0</v>
      </c>
      <c r="M87" s="4">
        <v>4.22015001495E12</v>
      </c>
      <c r="N87" s="6">
        <v>35677.0</v>
      </c>
      <c r="O87" s="4" t="s">
        <v>737</v>
      </c>
      <c r="P87" s="4">
        <v>75290.0</v>
      </c>
      <c r="Q87" s="4" t="s">
        <v>52</v>
      </c>
      <c r="R87" s="7" t="s">
        <v>738</v>
      </c>
      <c r="S87" s="7" t="s">
        <v>738</v>
      </c>
      <c r="T87" s="4" t="s">
        <v>724</v>
      </c>
      <c r="U87" s="4" t="s">
        <v>65</v>
      </c>
      <c r="V87" s="4" t="s">
        <v>726</v>
      </c>
      <c r="W87" s="4">
        <v>4.250136329819E12</v>
      </c>
      <c r="X87" s="4" t="s">
        <v>739</v>
      </c>
      <c r="Y87" s="7" t="s">
        <v>732</v>
      </c>
      <c r="Z87" s="4" t="s">
        <v>733</v>
      </c>
      <c r="AA87" s="4" t="s">
        <v>724</v>
      </c>
      <c r="AB87" s="8"/>
    </row>
    <row r="88" ht="22.5" customHeight="1">
      <c r="A88" s="3">
        <v>46193.48461814815</v>
      </c>
      <c r="B88" s="4">
        <v>2.0</v>
      </c>
      <c r="C88" s="5" t="str">
        <f>IFERROR(__xludf.DUMMYFUNCTION("""COMPUTED_VALUE"""),"S17")</f>
        <v>S17</v>
      </c>
      <c r="D88" s="4">
        <v>4.230107201891E12</v>
      </c>
      <c r="E88" s="4" t="s">
        <v>740</v>
      </c>
      <c r="F88" s="4" t="s">
        <v>29</v>
      </c>
      <c r="G88" s="4" t="s">
        <v>741</v>
      </c>
      <c r="H88" s="4" t="s">
        <v>742</v>
      </c>
      <c r="I88" s="4" t="s">
        <v>743</v>
      </c>
      <c r="J88" s="4" t="s">
        <v>60</v>
      </c>
      <c r="K88" s="4" t="s">
        <v>744</v>
      </c>
      <c r="L88" s="6">
        <v>47994.0</v>
      </c>
      <c r="M88" s="4" t="s">
        <v>745</v>
      </c>
      <c r="N88" s="6">
        <v>32048.0</v>
      </c>
      <c r="O88" s="4" t="s">
        <v>148</v>
      </c>
      <c r="P88" s="4" t="s">
        <v>746</v>
      </c>
      <c r="Q88" s="4" t="s">
        <v>37</v>
      </c>
      <c r="R88" s="4" t="s">
        <v>747</v>
      </c>
      <c r="S88" s="4" t="s">
        <v>748</v>
      </c>
      <c r="T88" s="4" t="s">
        <v>743</v>
      </c>
      <c r="U88" s="4" t="s">
        <v>193</v>
      </c>
      <c r="V88" s="4" t="s">
        <v>740</v>
      </c>
      <c r="W88" s="4">
        <v>4.230107201891E12</v>
      </c>
      <c r="X88" s="4" t="s">
        <v>193</v>
      </c>
      <c r="Y88" s="4" t="s">
        <v>749</v>
      </c>
      <c r="Z88" s="4" t="s">
        <v>750</v>
      </c>
      <c r="AA88" s="4" t="s">
        <v>751</v>
      </c>
      <c r="AB88" s="8"/>
    </row>
    <row r="89" ht="22.5" customHeight="1">
      <c r="A89" s="3">
        <v>46193.52225728009</v>
      </c>
      <c r="B89" s="4">
        <v>2.0</v>
      </c>
      <c r="C89" s="5" t="str">
        <f>IFERROR(__xludf.DUMMYFUNCTION("""COMPUTED_VALUE"""),"S18")</f>
        <v>S18</v>
      </c>
      <c r="D89" s="4" t="s">
        <v>752</v>
      </c>
      <c r="E89" s="4" t="s">
        <v>753</v>
      </c>
      <c r="F89" s="4" t="s">
        <v>29</v>
      </c>
      <c r="G89" s="4" t="s">
        <v>754</v>
      </c>
      <c r="H89" s="4" t="s">
        <v>755</v>
      </c>
      <c r="I89" s="4" t="s">
        <v>756</v>
      </c>
      <c r="J89" s="4" t="s">
        <v>33</v>
      </c>
      <c r="K89" s="4" t="s">
        <v>757</v>
      </c>
      <c r="L89" s="6">
        <v>47082.0</v>
      </c>
      <c r="M89" s="4">
        <v>4.210143996151E12</v>
      </c>
      <c r="N89" s="6">
        <v>34354.0</v>
      </c>
      <c r="O89" s="4" t="s">
        <v>758</v>
      </c>
      <c r="P89" s="4" t="s">
        <v>759</v>
      </c>
      <c r="Q89" s="4" t="s">
        <v>133</v>
      </c>
      <c r="R89" s="7" t="s">
        <v>760</v>
      </c>
      <c r="S89" s="7" t="s">
        <v>760</v>
      </c>
      <c r="T89" s="4" t="s">
        <v>761</v>
      </c>
      <c r="U89" s="4" t="s">
        <v>67</v>
      </c>
      <c r="V89" s="4" t="s">
        <v>762</v>
      </c>
      <c r="W89" s="4" t="s">
        <v>763</v>
      </c>
      <c r="X89" s="4" t="s">
        <v>65</v>
      </c>
      <c r="Y89" s="7" t="s">
        <v>764</v>
      </c>
      <c r="Z89" s="4" t="s">
        <v>765</v>
      </c>
      <c r="AA89" s="4" t="s">
        <v>766</v>
      </c>
      <c r="AB89" s="8"/>
    </row>
    <row r="90" ht="22.5" customHeight="1">
      <c r="A90" s="3">
        <v>46193.540499062496</v>
      </c>
      <c r="B90" s="4">
        <v>2.0</v>
      </c>
      <c r="C90" s="5" t="str">
        <f>IFERROR(__xludf.DUMMYFUNCTION("""COMPUTED_VALUE"""),"S19")</f>
        <v>S19</v>
      </c>
      <c r="D90" s="4">
        <v>4.230139660465E12</v>
      </c>
      <c r="E90" s="4" t="s">
        <v>767</v>
      </c>
      <c r="F90" s="4" t="s">
        <v>29</v>
      </c>
      <c r="G90" s="4" t="s">
        <v>768</v>
      </c>
      <c r="H90" s="4" t="s">
        <v>767</v>
      </c>
      <c r="I90" s="4" t="s">
        <v>769</v>
      </c>
      <c r="J90" s="4" t="s">
        <v>33</v>
      </c>
      <c r="K90" s="4" t="s">
        <v>770</v>
      </c>
      <c r="L90" s="6">
        <v>49744.0</v>
      </c>
      <c r="M90" s="4">
        <v>4.230139660465E12</v>
      </c>
      <c r="N90" s="6">
        <v>31563.0</v>
      </c>
      <c r="O90" s="4" t="s">
        <v>674</v>
      </c>
      <c r="P90" s="4" t="s">
        <v>771</v>
      </c>
      <c r="Q90" s="4" t="s">
        <v>431</v>
      </c>
      <c r="R90" s="7" t="s">
        <v>772</v>
      </c>
      <c r="S90" s="7" t="s">
        <v>772</v>
      </c>
      <c r="V90" s="4" t="s">
        <v>773</v>
      </c>
      <c r="W90" s="4">
        <v>4.23010987149E11</v>
      </c>
      <c r="X90" s="4" t="s">
        <v>498</v>
      </c>
      <c r="Y90" s="7" t="s">
        <v>774</v>
      </c>
      <c r="Z90" s="4" t="s">
        <v>775</v>
      </c>
      <c r="AA90" s="4" t="s">
        <v>767</v>
      </c>
      <c r="AB90" s="8"/>
    </row>
    <row r="91" ht="22.5" customHeight="1">
      <c r="A91" s="3">
        <v>46193.59082678241</v>
      </c>
      <c r="B91" s="4" t="s">
        <v>776</v>
      </c>
      <c r="C91" s="5" t="str">
        <f>IFERROR(__xludf.DUMMYFUNCTION("""COMPUTED_VALUE"""),"L21")</f>
        <v>L21</v>
      </c>
      <c r="D91" s="4">
        <v>4.230150983271E12</v>
      </c>
      <c r="E91" s="4" t="s">
        <v>777</v>
      </c>
      <c r="F91" s="4" t="s">
        <v>45</v>
      </c>
      <c r="G91" s="4" t="s">
        <v>778</v>
      </c>
      <c r="H91" s="4" t="s">
        <v>777</v>
      </c>
      <c r="I91" s="4" t="s">
        <v>779</v>
      </c>
      <c r="J91" s="4" t="s">
        <v>33</v>
      </c>
      <c r="K91" s="4" t="s">
        <v>780</v>
      </c>
      <c r="L91" s="6">
        <v>49860.0</v>
      </c>
      <c r="M91" s="4">
        <v>4.130150983271E12</v>
      </c>
      <c r="N91" s="6">
        <v>34154.0</v>
      </c>
      <c r="O91" s="4" t="s">
        <v>148</v>
      </c>
      <c r="P91" s="4" t="s">
        <v>781</v>
      </c>
      <c r="Q91" s="4" t="s">
        <v>133</v>
      </c>
      <c r="R91" s="7" t="s">
        <v>782</v>
      </c>
      <c r="S91" s="7" t="s">
        <v>783</v>
      </c>
      <c r="V91" s="4" t="s">
        <v>784</v>
      </c>
      <c r="W91" s="4">
        <v>4.230103024259E12</v>
      </c>
      <c r="X91" s="4" t="s">
        <v>79</v>
      </c>
      <c r="Y91" s="7" t="s">
        <v>785</v>
      </c>
      <c r="Z91" s="4" t="s">
        <v>786</v>
      </c>
      <c r="AA91" s="4" t="s">
        <v>777</v>
      </c>
      <c r="AB91" s="8"/>
    </row>
    <row r="92" ht="22.5" customHeight="1">
      <c r="A92" s="3">
        <v>46193.59386209491</v>
      </c>
      <c r="B92" s="4">
        <v>2.0</v>
      </c>
      <c r="C92" s="5" t="str">
        <f>IFERROR(__xludf.DUMMYFUNCTION("""COMPUTED_VALUE"""),"S19")</f>
        <v>S19</v>
      </c>
      <c r="D92" s="4">
        <v>4.230139660465E12</v>
      </c>
      <c r="E92" s="4" t="s">
        <v>767</v>
      </c>
      <c r="F92" s="4" t="s">
        <v>29</v>
      </c>
      <c r="G92" s="4" t="s">
        <v>787</v>
      </c>
      <c r="H92" s="4" t="s">
        <v>788</v>
      </c>
      <c r="I92" s="4" t="s">
        <v>767</v>
      </c>
      <c r="J92" s="4" t="s">
        <v>33</v>
      </c>
      <c r="K92" s="4" t="s">
        <v>789</v>
      </c>
      <c r="L92" s="6">
        <v>49722.0</v>
      </c>
      <c r="M92" s="4">
        <v>4.230109911964E12</v>
      </c>
      <c r="N92" s="6">
        <v>35740.0</v>
      </c>
      <c r="O92" s="4" t="s">
        <v>330</v>
      </c>
      <c r="P92" s="4" t="s">
        <v>790</v>
      </c>
      <c r="Q92" s="4" t="s">
        <v>133</v>
      </c>
      <c r="R92" s="7" t="s">
        <v>791</v>
      </c>
      <c r="S92" s="7" t="s">
        <v>791</v>
      </c>
      <c r="T92" s="4" t="s">
        <v>767</v>
      </c>
      <c r="U92" s="4" t="s">
        <v>792</v>
      </c>
      <c r="V92" s="4" t="s">
        <v>793</v>
      </c>
      <c r="W92" s="4" t="s">
        <v>794</v>
      </c>
      <c r="X92" s="4" t="s">
        <v>79</v>
      </c>
      <c r="Y92" s="7" t="s">
        <v>795</v>
      </c>
      <c r="Z92" s="4" t="s">
        <v>796</v>
      </c>
      <c r="AA92" s="4" t="s">
        <v>797</v>
      </c>
      <c r="AB92" s="8"/>
    </row>
    <row r="93" ht="22.5" customHeight="1">
      <c r="A93" s="3">
        <v>46193.59449042824</v>
      </c>
      <c r="B93" s="4">
        <v>3.0</v>
      </c>
      <c r="C93" s="5" t="str">
        <f>IFERROR(__xludf.DUMMYFUNCTION("""COMPUTED_VALUE"""),"L21")</f>
        <v>L21</v>
      </c>
      <c r="D93" s="4">
        <v>4.230150983271E12</v>
      </c>
      <c r="E93" s="4" t="s">
        <v>777</v>
      </c>
      <c r="F93" s="4" t="s">
        <v>45</v>
      </c>
      <c r="G93" s="4" t="s">
        <v>690</v>
      </c>
      <c r="H93" s="4" t="s">
        <v>798</v>
      </c>
      <c r="I93" s="4" t="s">
        <v>779</v>
      </c>
      <c r="J93" s="4" t="s">
        <v>60</v>
      </c>
      <c r="K93" s="4" t="s">
        <v>799</v>
      </c>
      <c r="L93" s="6">
        <v>47302.0</v>
      </c>
      <c r="M93" s="4">
        <v>4.23012058764E12</v>
      </c>
      <c r="N93" s="6">
        <v>30530.0</v>
      </c>
      <c r="O93" s="4" t="s">
        <v>148</v>
      </c>
      <c r="P93" s="4" t="s">
        <v>800</v>
      </c>
      <c r="Q93" s="4" t="s">
        <v>133</v>
      </c>
      <c r="R93" s="7" t="s">
        <v>801</v>
      </c>
      <c r="S93" s="7" t="s">
        <v>801</v>
      </c>
      <c r="T93" s="4" t="s">
        <v>777</v>
      </c>
      <c r="U93" s="4" t="s">
        <v>79</v>
      </c>
      <c r="V93" s="4" t="s">
        <v>802</v>
      </c>
      <c r="W93" s="4">
        <v>4.230103024259E12</v>
      </c>
      <c r="X93" s="4" t="s">
        <v>79</v>
      </c>
      <c r="Y93" s="7" t="s">
        <v>785</v>
      </c>
      <c r="Z93" s="4" t="s">
        <v>786</v>
      </c>
      <c r="AA93" s="4" t="s">
        <v>777</v>
      </c>
      <c r="AB93" s="8"/>
    </row>
    <row r="94" ht="22.5" customHeight="1">
      <c r="A94" s="3">
        <v>46193.59854784722</v>
      </c>
      <c r="B94" s="4">
        <v>3.0</v>
      </c>
      <c r="C94" s="5" t="str">
        <f>IFERROR(__xludf.DUMMYFUNCTION("""COMPUTED_VALUE"""),"L21")</f>
        <v>L21</v>
      </c>
      <c r="D94" s="4">
        <v>4.230150983271E12</v>
      </c>
      <c r="E94" s="4" t="s">
        <v>777</v>
      </c>
      <c r="F94" s="4" t="s">
        <v>45</v>
      </c>
      <c r="G94" s="4" t="s">
        <v>690</v>
      </c>
      <c r="H94" s="4" t="s">
        <v>803</v>
      </c>
      <c r="I94" s="4" t="s">
        <v>779</v>
      </c>
      <c r="J94" s="4" t="s">
        <v>60</v>
      </c>
      <c r="K94" s="4" t="s">
        <v>804</v>
      </c>
      <c r="L94" s="6">
        <v>47302.0</v>
      </c>
      <c r="M94" s="4">
        <v>4.230152187672E12</v>
      </c>
      <c r="N94" s="6">
        <v>21560.0</v>
      </c>
      <c r="O94" s="4" t="s">
        <v>148</v>
      </c>
      <c r="P94" s="4" t="s">
        <v>800</v>
      </c>
      <c r="Q94" s="4" t="s">
        <v>133</v>
      </c>
      <c r="R94" s="7" t="s">
        <v>805</v>
      </c>
      <c r="S94" s="7" t="s">
        <v>805</v>
      </c>
      <c r="T94" s="4" t="s">
        <v>777</v>
      </c>
      <c r="U94" s="4" t="s">
        <v>87</v>
      </c>
      <c r="V94" s="4" t="s">
        <v>784</v>
      </c>
      <c r="W94" s="4">
        <v>4.230103024259E12</v>
      </c>
      <c r="X94" s="4" t="s">
        <v>87</v>
      </c>
      <c r="Y94" s="7" t="s">
        <v>785</v>
      </c>
      <c r="Z94" s="4" t="s">
        <v>786</v>
      </c>
      <c r="AA94" s="4" t="s">
        <v>777</v>
      </c>
      <c r="AB94" s="8"/>
    </row>
    <row r="95" ht="22.5" customHeight="1">
      <c r="A95" s="3">
        <v>46193.615284976855</v>
      </c>
      <c r="B95" s="4">
        <v>2.0</v>
      </c>
      <c r="C95" s="5" t="str">
        <f>IFERROR(__xludf.DUMMYFUNCTION("""COMPUTED_VALUE"""),"L22")</f>
        <v>L22</v>
      </c>
      <c r="D95" s="4" t="s">
        <v>806</v>
      </c>
      <c r="E95" s="4" t="s">
        <v>807</v>
      </c>
      <c r="F95" s="4" t="s">
        <v>45</v>
      </c>
      <c r="G95" s="4" t="s">
        <v>554</v>
      </c>
      <c r="H95" s="4" t="s">
        <v>807</v>
      </c>
      <c r="I95" s="4" t="s">
        <v>808</v>
      </c>
      <c r="J95" s="4" t="s">
        <v>33</v>
      </c>
      <c r="M95" s="4" t="s">
        <v>809</v>
      </c>
      <c r="N95" s="6">
        <v>31688.0</v>
      </c>
      <c r="O95" s="4" t="s">
        <v>529</v>
      </c>
      <c r="P95" s="4" t="s">
        <v>810</v>
      </c>
      <c r="Q95" s="4" t="s">
        <v>431</v>
      </c>
      <c r="R95" s="7" t="s">
        <v>811</v>
      </c>
      <c r="S95" s="7" t="s">
        <v>811</v>
      </c>
      <c r="V95" s="4" t="s">
        <v>812</v>
      </c>
      <c r="W95" s="4" t="s">
        <v>813</v>
      </c>
      <c r="X95" s="4" t="s">
        <v>67</v>
      </c>
      <c r="Y95" s="7" t="s">
        <v>814</v>
      </c>
      <c r="Z95" s="4">
        <v>1.436246263034E12</v>
      </c>
      <c r="AA95" s="4" t="s">
        <v>815</v>
      </c>
      <c r="AB95" s="8"/>
    </row>
    <row r="96" ht="22.5" customHeight="1">
      <c r="A96" s="3">
        <v>46193.628616250004</v>
      </c>
      <c r="B96" s="4" t="s">
        <v>816</v>
      </c>
      <c r="C96" s="5" t="str">
        <f>IFERROR(__xludf.DUMMYFUNCTION("""COMPUTED_VALUE"""),"S20")</f>
        <v>S20</v>
      </c>
      <c r="D96" s="4">
        <v>4.410326634221E12</v>
      </c>
      <c r="E96" s="4" t="s">
        <v>817</v>
      </c>
      <c r="F96" s="4" t="s">
        <v>29</v>
      </c>
      <c r="G96" s="4" t="s">
        <v>818</v>
      </c>
      <c r="H96" s="4" t="s">
        <v>817</v>
      </c>
      <c r="I96" s="4" t="s">
        <v>819</v>
      </c>
      <c r="J96" s="4" t="s">
        <v>33</v>
      </c>
      <c r="K96" s="4" t="s">
        <v>820</v>
      </c>
      <c r="L96" s="6">
        <v>49521.0</v>
      </c>
      <c r="M96" s="4">
        <v>4.410326634221E12</v>
      </c>
      <c r="N96" s="6">
        <v>27626.0</v>
      </c>
      <c r="O96" s="4" t="s">
        <v>160</v>
      </c>
      <c r="P96" s="4" t="s">
        <v>821</v>
      </c>
      <c r="Q96" s="4" t="s">
        <v>133</v>
      </c>
      <c r="R96" s="7" t="s">
        <v>822</v>
      </c>
      <c r="S96" s="7" t="s">
        <v>822</v>
      </c>
      <c r="T96" s="4" t="s">
        <v>823</v>
      </c>
      <c r="U96" s="4" t="s">
        <v>823</v>
      </c>
      <c r="V96" s="4" t="s">
        <v>824</v>
      </c>
      <c r="W96" s="4">
        <v>4.130603400634E12</v>
      </c>
      <c r="X96" s="4" t="s">
        <v>825</v>
      </c>
      <c r="Y96" s="7" t="s">
        <v>826</v>
      </c>
      <c r="Z96" s="4" t="s">
        <v>827</v>
      </c>
      <c r="AA96" s="4" t="s">
        <v>817</v>
      </c>
      <c r="AB96" s="8"/>
    </row>
    <row r="97" ht="22.5" customHeight="1">
      <c r="A97" s="3">
        <v>46193.6607</v>
      </c>
      <c r="B97" s="4">
        <v>3.0</v>
      </c>
      <c r="C97" s="5" t="str">
        <f>IFERROR(__xludf.DUMMYFUNCTION("""COMPUTED_VALUE"""),"S21")</f>
        <v>S21</v>
      </c>
      <c r="D97" s="4">
        <v>4.230150485725E12</v>
      </c>
      <c r="E97" s="4" t="s">
        <v>828</v>
      </c>
      <c r="F97" s="4" t="s">
        <v>29</v>
      </c>
      <c r="G97" s="4" t="s">
        <v>829</v>
      </c>
      <c r="H97" s="4" t="s">
        <v>31</v>
      </c>
      <c r="I97" s="4" t="s">
        <v>830</v>
      </c>
      <c r="J97" s="4" t="s">
        <v>33</v>
      </c>
      <c r="K97" s="4" t="s">
        <v>831</v>
      </c>
      <c r="L97" s="6">
        <v>49351.0</v>
      </c>
      <c r="M97" s="4">
        <v>4.230150485725E12</v>
      </c>
      <c r="N97" s="6">
        <v>32155.0</v>
      </c>
      <c r="O97" s="4" t="s">
        <v>832</v>
      </c>
      <c r="P97" s="4" t="s">
        <v>833</v>
      </c>
      <c r="Q97" s="4" t="s">
        <v>37</v>
      </c>
      <c r="R97" s="7" t="s">
        <v>834</v>
      </c>
      <c r="S97" s="7" t="s">
        <v>834</v>
      </c>
      <c r="V97" s="4" t="s">
        <v>835</v>
      </c>
      <c r="W97" s="4">
        <v>4.230134419475E12</v>
      </c>
      <c r="X97" s="4" t="s">
        <v>630</v>
      </c>
      <c r="Y97" s="7" t="s">
        <v>836</v>
      </c>
    </row>
    <row r="98" ht="22.5" customHeight="1">
      <c r="A98" s="3">
        <v>46193.66393796296</v>
      </c>
      <c r="B98" s="4">
        <v>3.0</v>
      </c>
      <c r="C98" s="5" t="str">
        <f>IFERROR(__xludf.DUMMYFUNCTION("""COMPUTED_VALUE"""),"S21")</f>
        <v>S21</v>
      </c>
      <c r="D98" s="4">
        <v>4.230150485725E12</v>
      </c>
      <c r="E98" s="4" t="s">
        <v>828</v>
      </c>
      <c r="F98" s="4" t="s">
        <v>29</v>
      </c>
      <c r="G98" s="4" t="s">
        <v>837</v>
      </c>
      <c r="H98" s="4" t="s">
        <v>838</v>
      </c>
      <c r="I98" s="4" t="s">
        <v>828</v>
      </c>
      <c r="J98" s="4" t="s">
        <v>60</v>
      </c>
      <c r="K98" s="4" t="s">
        <v>839</v>
      </c>
      <c r="M98" s="4">
        <v>9.120801084088E12</v>
      </c>
      <c r="N98" s="6">
        <v>33703.0</v>
      </c>
      <c r="O98" s="4" t="s">
        <v>832</v>
      </c>
      <c r="P98" s="4" t="s">
        <v>833</v>
      </c>
      <c r="Q98" s="4" t="s">
        <v>37</v>
      </c>
      <c r="R98" s="7" t="s">
        <v>840</v>
      </c>
      <c r="S98" s="4" t="s">
        <v>841</v>
      </c>
      <c r="T98" s="4" t="s">
        <v>842</v>
      </c>
      <c r="U98" s="4" t="s">
        <v>65</v>
      </c>
      <c r="V98" s="4" t="s">
        <v>835</v>
      </c>
      <c r="W98" s="4">
        <v>4.230134419475E12</v>
      </c>
      <c r="X98" s="4" t="s">
        <v>194</v>
      </c>
      <c r="Y98" s="7" t="s">
        <v>836</v>
      </c>
    </row>
    <row r="99" ht="22.5" customHeight="1">
      <c r="A99" s="3">
        <v>46193.667126238426</v>
      </c>
      <c r="B99" s="4">
        <v>2.0</v>
      </c>
      <c r="C99" s="5" t="str">
        <f>IFERROR(__xludf.DUMMYFUNCTION("""COMPUTED_VALUE"""),"L23")</f>
        <v>L23</v>
      </c>
      <c r="D99" s="4" t="s">
        <v>843</v>
      </c>
      <c r="E99" s="4" t="s">
        <v>844</v>
      </c>
      <c r="F99" s="4" t="s">
        <v>45</v>
      </c>
      <c r="G99" s="4" t="s">
        <v>845</v>
      </c>
      <c r="H99" s="4" t="s">
        <v>846</v>
      </c>
      <c r="I99" s="4" t="s">
        <v>847</v>
      </c>
      <c r="J99" s="4" t="s">
        <v>33</v>
      </c>
      <c r="K99" s="4" t="s">
        <v>848</v>
      </c>
      <c r="L99" s="6">
        <v>46419.0</v>
      </c>
      <c r="M99" s="4" t="s">
        <v>843</v>
      </c>
      <c r="N99" s="6">
        <v>27783.0</v>
      </c>
      <c r="O99" s="4" t="s">
        <v>148</v>
      </c>
      <c r="P99" s="4" t="s">
        <v>849</v>
      </c>
      <c r="Q99" s="4" t="s">
        <v>52</v>
      </c>
      <c r="R99" s="7" t="s">
        <v>850</v>
      </c>
      <c r="S99" s="7" t="s">
        <v>850</v>
      </c>
      <c r="V99" s="4" t="s">
        <v>851</v>
      </c>
      <c r="W99" s="4" t="s">
        <v>852</v>
      </c>
      <c r="X99" s="4" t="s">
        <v>853</v>
      </c>
      <c r="Y99" s="4" t="s">
        <v>854</v>
      </c>
    </row>
    <row r="100" ht="22.5" customHeight="1">
      <c r="A100" s="3">
        <v>46193.673877152774</v>
      </c>
      <c r="B100" s="4">
        <v>2.0</v>
      </c>
      <c r="C100" s="5" t="str">
        <f>IFERROR(__xludf.DUMMYFUNCTION("""COMPUTED_VALUE"""),"L23")</f>
        <v>L23</v>
      </c>
      <c r="D100" s="4" t="s">
        <v>843</v>
      </c>
      <c r="E100" s="4" t="s">
        <v>846</v>
      </c>
      <c r="F100" s="4" t="s">
        <v>45</v>
      </c>
      <c r="G100" s="4" t="s">
        <v>855</v>
      </c>
      <c r="H100" s="4" t="s">
        <v>856</v>
      </c>
      <c r="I100" s="4" t="s">
        <v>846</v>
      </c>
      <c r="J100" s="4" t="s">
        <v>60</v>
      </c>
      <c r="K100" s="4" t="s">
        <v>857</v>
      </c>
      <c r="L100" s="6">
        <v>46419.0</v>
      </c>
      <c r="M100" s="4" t="s">
        <v>858</v>
      </c>
      <c r="N100" s="6">
        <v>30030.0</v>
      </c>
      <c r="O100" s="4" t="s">
        <v>512</v>
      </c>
      <c r="P100" s="4" t="s">
        <v>859</v>
      </c>
      <c r="Q100" s="4" t="s">
        <v>52</v>
      </c>
      <c r="R100" s="4" t="s">
        <v>860</v>
      </c>
      <c r="S100" s="4" t="s">
        <v>860</v>
      </c>
      <c r="T100" s="4" t="s">
        <v>846</v>
      </c>
      <c r="U100" s="4" t="s">
        <v>193</v>
      </c>
      <c r="V100" s="4" t="s">
        <v>861</v>
      </c>
      <c r="W100" s="4" t="s">
        <v>852</v>
      </c>
      <c r="X100" s="4" t="s">
        <v>862</v>
      </c>
      <c r="Y100" s="4" t="s">
        <v>854</v>
      </c>
    </row>
    <row r="101" ht="22.5" customHeight="1">
      <c r="A101" s="3">
        <v>46193.68388857639</v>
      </c>
      <c r="B101" s="4">
        <v>5.0</v>
      </c>
      <c r="C101" s="5" t="str">
        <f>IFERROR(__xludf.DUMMYFUNCTION("""COMPUTED_VALUE"""),"L24")</f>
        <v>L24</v>
      </c>
      <c r="D101" s="4">
        <v>4.230109688155E12</v>
      </c>
      <c r="E101" s="4" t="s">
        <v>863</v>
      </c>
      <c r="F101" s="4" t="s">
        <v>45</v>
      </c>
      <c r="G101" s="4" t="s">
        <v>864</v>
      </c>
      <c r="H101" s="4" t="s">
        <v>554</v>
      </c>
      <c r="I101" s="4" t="s">
        <v>865</v>
      </c>
      <c r="J101" s="4" t="s">
        <v>33</v>
      </c>
      <c r="K101" s="4" t="s">
        <v>866</v>
      </c>
      <c r="L101" s="6">
        <v>47656.0</v>
      </c>
      <c r="M101" s="4">
        <v>4.230109688155E12</v>
      </c>
      <c r="N101" s="6">
        <v>27335.0</v>
      </c>
      <c r="O101" s="4" t="s">
        <v>758</v>
      </c>
      <c r="P101" s="4" t="s">
        <v>867</v>
      </c>
      <c r="Q101" s="4" t="s">
        <v>37</v>
      </c>
      <c r="R101" s="7" t="s">
        <v>868</v>
      </c>
      <c r="S101" s="7" t="s">
        <v>868</v>
      </c>
      <c r="V101" s="4" t="s">
        <v>869</v>
      </c>
      <c r="W101" s="4">
        <v>4.220113941527E12</v>
      </c>
      <c r="X101" s="4" t="s">
        <v>163</v>
      </c>
      <c r="Y101" s="7" t="s">
        <v>870</v>
      </c>
      <c r="Z101" s="4" t="s">
        <v>871</v>
      </c>
      <c r="AA101" s="4" t="s">
        <v>863</v>
      </c>
      <c r="AB101" s="8"/>
    </row>
    <row r="102" ht="22.5" customHeight="1">
      <c r="A102" s="3">
        <v>46193.697994594906</v>
      </c>
      <c r="B102" s="4">
        <v>5.0</v>
      </c>
      <c r="C102" s="5" t="str">
        <f>IFERROR(__xludf.DUMMYFUNCTION("""COMPUTED_VALUE"""),"L24")</f>
        <v>L24</v>
      </c>
      <c r="D102" s="4">
        <v>4.230109688155E12</v>
      </c>
      <c r="E102" s="4" t="s">
        <v>863</v>
      </c>
      <c r="F102" s="4" t="s">
        <v>45</v>
      </c>
      <c r="G102" s="4" t="s">
        <v>864</v>
      </c>
      <c r="H102" s="4" t="s">
        <v>872</v>
      </c>
      <c r="I102" s="4" t="s">
        <v>863</v>
      </c>
      <c r="J102" s="4" t="s">
        <v>60</v>
      </c>
      <c r="K102" s="4" t="s">
        <v>873</v>
      </c>
      <c r="L102" s="6">
        <v>47656.0</v>
      </c>
      <c r="M102" s="4">
        <v>4.220149741274E12</v>
      </c>
      <c r="N102" s="6">
        <v>47656.0</v>
      </c>
      <c r="O102" s="4" t="s">
        <v>160</v>
      </c>
      <c r="P102" s="4" t="s">
        <v>874</v>
      </c>
      <c r="Q102" s="4" t="s">
        <v>37</v>
      </c>
      <c r="R102" s="7" t="s">
        <v>875</v>
      </c>
      <c r="S102" s="7" t="s">
        <v>875</v>
      </c>
      <c r="T102" s="4" t="s">
        <v>863</v>
      </c>
      <c r="U102" s="4" t="s">
        <v>876</v>
      </c>
      <c r="V102" s="4" t="s">
        <v>869</v>
      </c>
      <c r="W102" s="4">
        <v>4.220113941527E12</v>
      </c>
      <c r="X102" s="4" t="s">
        <v>358</v>
      </c>
      <c r="Y102" s="7" t="s">
        <v>870</v>
      </c>
      <c r="Z102" s="4" t="s">
        <v>871</v>
      </c>
      <c r="AA102" s="4" t="s">
        <v>863</v>
      </c>
      <c r="AB102" s="8"/>
    </row>
    <row r="103" ht="22.5" customHeight="1">
      <c r="A103" s="3">
        <v>46193.72611959491</v>
      </c>
      <c r="B103" s="4">
        <v>3.0</v>
      </c>
      <c r="C103" s="5" t="str">
        <f>IFERROR(__xludf.DUMMYFUNCTION("""COMPUTED_VALUE"""),"L25")</f>
        <v>L25</v>
      </c>
      <c r="D103" s="4">
        <v>4.210107058009E12</v>
      </c>
      <c r="E103" s="4" t="s">
        <v>877</v>
      </c>
      <c r="F103" s="4" t="s">
        <v>45</v>
      </c>
      <c r="G103" s="4" t="s">
        <v>878</v>
      </c>
      <c r="H103" s="4" t="s">
        <v>877</v>
      </c>
      <c r="I103" s="4" t="s">
        <v>879</v>
      </c>
      <c r="J103" s="4" t="s">
        <v>33</v>
      </c>
      <c r="K103" s="4" t="s">
        <v>880</v>
      </c>
      <c r="L103" s="6">
        <v>46992.0</v>
      </c>
      <c r="M103" s="4">
        <v>4.210107058009E12</v>
      </c>
      <c r="N103" s="6">
        <v>33139.0</v>
      </c>
      <c r="O103" s="4" t="s">
        <v>160</v>
      </c>
      <c r="P103" s="4" t="s">
        <v>881</v>
      </c>
      <c r="Q103" s="4" t="s">
        <v>133</v>
      </c>
      <c r="R103" s="7" t="s">
        <v>882</v>
      </c>
      <c r="S103" s="7" t="s">
        <v>882</v>
      </c>
      <c r="V103" s="4" t="s">
        <v>883</v>
      </c>
      <c r="W103" s="4">
        <v>4.210114598792E12</v>
      </c>
      <c r="X103" s="4" t="s">
        <v>498</v>
      </c>
      <c r="Y103" s="7" t="s">
        <v>884</v>
      </c>
      <c r="Z103" s="4" t="s">
        <v>885</v>
      </c>
      <c r="AA103" s="4" t="s">
        <v>886</v>
      </c>
      <c r="AB103" s="8"/>
    </row>
    <row r="104" ht="22.5" customHeight="1">
      <c r="A104" s="3">
        <v>46193.730709131945</v>
      </c>
      <c r="B104" s="4">
        <v>3.0</v>
      </c>
      <c r="C104" s="5" t="str">
        <f>IFERROR(__xludf.DUMMYFUNCTION("""COMPUTED_VALUE"""),"L25")</f>
        <v>L25</v>
      </c>
      <c r="D104" s="4">
        <v>4.210107058009E12</v>
      </c>
      <c r="E104" s="4" t="s">
        <v>877</v>
      </c>
      <c r="F104" s="4" t="s">
        <v>45</v>
      </c>
      <c r="G104" s="4" t="s">
        <v>877</v>
      </c>
      <c r="H104" s="4" t="s">
        <v>681</v>
      </c>
      <c r="I104" s="4" t="s">
        <v>877</v>
      </c>
      <c r="J104" s="4" t="s">
        <v>60</v>
      </c>
      <c r="K104" s="4" t="s">
        <v>887</v>
      </c>
      <c r="L104" s="6">
        <v>47963.0</v>
      </c>
      <c r="M104" s="4">
        <v>3.520260108558E12</v>
      </c>
      <c r="N104" s="6">
        <v>36376.0</v>
      </c>
      <c r="O104" s="4" t="s">
        <v>35</v>
      </c>
      <c r="P104" s="4" t="s">
        <v>881</v>
      </c>
      <c r="Q104" s="4" t="s">
        <v>133</v>
      </c>
      <c r="R104" s="7" t="s">
        <v>888</v>
      </c>
      <c r="S104" s="4">
        <v>3.326061406E9</v>
      </c>
      <c r="T104" s="4" t="s">
        <v>877</v>
      </c>
      <c r="U104" s="4" t="s">
        <v>193</v>
      </c>
      <c r="V104" s="4" t="s">
        <v>889</v>
      </c>
      <c r="W104" s="4">
        <v>4.210114598792E12</v>
      </c>
      <c r="X104" s="4" t="s">
        <v>890</v>
      </c>
      <c r="Y104" s="7" t="s">
        <v>884</v>
      </c>
      <c r="Z104" s="4" t="s">
        <v>885</v>
      </c>
      <c r="AA104" s="4" t="s">
        <v>886</v>
      </c>
      <c r="AB104" s="8"/>
    </row>
    <row r="105" ht="22.5" customHeight="1">
      <c r="A105" s="3">
        <v>46193.752876099534</v>
      </c>
      <c r="B105" s="4">
        <v>2.0</v>
      </c>
      <c r="C105" s="5" t="str">
        <f>IFERROR(__xludf.DUMMYFUNCTION("""COMPUTED_VALUE"""),"S17")</f>
        <v>S17</v>
      </c>
      <c r="D105" s="4">
        <v>4.230107201891E12</v>
      </c>
      <c r="E105" s="4" t="s">
        <v>740</v>
      </c>
      <c r="F105" s="4" t="s">
        <v>29</v>
      </c>
      <c r="G105" s="4" t="s">
        <v>741</v>
      </c>
      <c r="H105" s="4" t="s">
        <v>725</v>
      </c>
      <c r="I105" s="4" t="s">
        <v>891</v>
      </c>
      <c r="J105" s="4" t="s">
        <v>33</v>
      </c>
      <c r="K105" s="4" t="s">
        <v>892</v>
      </c>
      <c r="L105" s="6">
        <v>47014.0</v>
      </c>
      <c r="M105" s="4">
        <v>4.230107201891E12</v>
      </c>
      <c r="N105" s="6">
        <v>30201.0</v>
      </c>
      <c r="O105" s="4" t="s">
        <v>512</v>
      </c>
      <c r="P105" s="4" t="s">
        <v>746</v>
      </c>
      <c r="Q105" s="4" t="s">
        <v>133</v>
      </c>
      <c r="R105" s="4" t="s">
        <v>749</v>
      </c>
      <c r="S105" s="4" t="s">
        <v>893</v>
      </c>
      <c r="V105" s="4" t="s">
        <v>740</v>
      </c>
      <c r="W105" s="4">
        <v>4.230107201891E12</v>
      </c>
      <c r="X105" s="4" t="s">
        <v>894</v>
      </c>
      <c r="Y105" s="7" t="s">
        <v>895</v>
      </c>
      <c r="Z105" s="4" t="s">
        <v>750</v>
      </c>
      <c r="AA105" s="4" t="s">
        <v>896</v>
      </c>
      <c r="AB105" s="8"/>
    </row>
    <row r="106" ht="22.5" customHeight="1">
      <c r="A106" s="3">
        <v>46193.8085915625</v>
      </c>
      <c r="B106" s="4" t="s">
        <v>349</v>
      </c>
      <c r="C106" s="5" t="str">
        <f>IFERROR(__xludf.DUMMYFUNCTION("""COMPUTED_VALUE"""),"L26")</f>
        <v>L26</v>
      </c>
      <c r="D106" s="4" t="s">
        <v>897</v>
      </c>
      <c r="E106" s="4" t="s">
        <v>898</v>
      </c>
      <c r="F106" s="4" t="s">
        <v>45</v>
      </c>
      <c r="G106" s="4" t="s">
        <v>899</v>
      </c>
      <c r="H106" s="4" t="s">
        <v>900</v>
      </c>
      <c r="I106" s="4" t="s">
        <v>901</v>
      </c>
      <c r="J106" s="4" t="s">
        <v>60</v>
      </c>
      <c r="K106" s="4" t="s">
        <v>902</v>
      </c>
      <c r="L106" s="6">
        <v>48609.0</v>
      </c>
      <c r="M106" s="4" t="s">
        <v>903</v>
      </c>
      <c r="N106" s="6">
        <v>29039.0</v>
      </c>
      <c r="O106" s="4" t="s">
        <v>904</v>
      </c>
      <c r="P106" s="4" t="s">
        <v>905</v>
      </c>
      <c r="Q106" s="4" t="s">
        <v>37</v>
      </c>
      <c r="R106" s="7" t="s">
        <v>906</v>
      </c>
      <c r="S106" s="7" t="s">
        <v>906</v>
      </c>
      <c r="T106" s="4" t="s">
        <v>901</v>
      </c>
      <c r="U106" s="4" t="s">
        <v>65</v>
      </c>
      <c r="V106" s="4" t="s">
        <v>907</v>
      </c>
      <c r="W106" s="4" t="s">
        <v>908</v>
      </c>
      <c r="X106" s="4" t="s">
        <v>87</v>
      </c>
      <c r="Y106" s="7" t="s">
        <v>909</v>
      </c>
      <c r="Z106" s="4" t="s">
        <v>910</v>
      </c>
      <c r="AA106" s="4" t="s">
        <v>907</v>
      </c>
      <c r="AB106" s="8"/>
    </row>
    <row r="107" ht="22.5" customHeight="1">
      <c r="A107" s="3">
        <v>46193.81322814815</v>
      </c>
      <c r="B107" s="4">
        <v>2.0</v>
      </c>
      <c r="C107" s="5" t="str">
        <f>IFERROR(__xludf.DUMMYFUNCTION("""COMPUTED_VALUE"""),"S22")</f>
        <v>S22</v>
      </c>
      <c r="D107" s="4">
        <v>4.230176551523E12</v>
      </c>
      <c r="E107" s="4" t="s">
        <v>911</v>
      </c>
      <c r="F107" s="4" t="s">
        <v>29</v>
      </c>
      <c r="G107" s="4" t="s">
        <v>912</v>
      </c>
      <c r="H107" s="4" t="s">
        <v>31</v>
      </c>
      <c r="I107" s="4" t="s">
        <v>913</v>
      </c>
      <c r="J107" s="4" t="s">
        <v>33</v>
      </c>
      <c r="K107" s="4" t="s">
        <v>914</v>
      </c>
      <c r="L107" s="6">
        <v>49745.0</v>
      </c>
      <c r="M107" s="4">
        <v>4.230176551523E12</v>
      </c>
      <c r="N107" s="6">
        <v>36064.0</v>
      </c>
      <c r="O107" s="4" t="s">
        <v>148</v>
      </c>
      <c r="P107" s="4" t="s">
        <v>915</v>
      </c>
      <c r="Q107" s="4" t="s">
        <v>52</v>
      </c>
      <c r="R107" s="7" t="s">
        <v>916</v>
      </c>
      <c r="S107" s="7" t="s">
        <v>917</v>
      </c>
      <c r="V107" s="4" t="s">
        <v>913</v>
      </c>
      <c r="W107" s="4">
        <v>4.230199806201E12</v>
      </c>
      <c r="X107" s="4" t="s">
        <v>40</v>
      </c>
      <c r="Y107" s="4" t="s">
        <v>918</v>
      </c>
    </row>
    <row r="108" ht="22.5" customHeight="1">
      <c r="A108" s="3">
        <v>46193.81974835648</v>
      </c>
      <c r="B108" s="4">
        <v>2.0</v>
      </c>
      <c r="C108" s="5" t="str">
        <f>IFERROR(__xludf.DUMMYFUNCTION("""COMPUTED_VALUE"""),"L26")</f>
        <v>L26</v>
      </c>
      <c r="D108" s="4" t="s">
        <v>897</v>
      </c>
      <c r="E108" s="4" t="s">
        <v>919</v>
      </c>
      <c r="F108" s="4" t="s">
        <v>45</v>
      </c>
      <c r="G108" s="4" t="s">
        <v>920</v>
      </c>
      <c r="H108" s="4" t="s">
        <v>919</v>
      </c>
      <c r="I108" s="4" t="s">
        <v>921</v>
      </c>
      <c r="J108" s="4" t="s">
        <v>33</v>
      </c>
      <c r="K108" s="4" t="s">
        <v>922</v>
      </c>
      <c r="L108" s="6">
        <v>48610.0</v>
      </c>
      <c r="M108" s="4" t="s">
        <v>923</v>
      </c>
      <c r="N108" s="6">
        <v>26308.0</v>
      </c>
      <c r="O108" s="4" t="s">
        <v>904</v>
      </c>
      <c r="P108" s="4" t="s">
        <v>905</v>
      </c>
      <c r="Q108" s="4" t="s">
        <v>37</v>
      </c>
      <c r="R108" s="7" t="s">
        <v>906</v>
      </c>
      <c r="S108" s="7" t="s">
        <v>906</v>
      </c>
      <c r="V108" s="4" t="s">
        <v>907</v>
      </c>
      <c r="W108" s="4" t="s">
        <v>924</v>
      </c>
      <c r="X108" s="4" t="s">
        <v>925</v>
      </c>
      <c r="Y108" s="7" t="s">
        <v>909</v>
      </c>
      <c r="Z108" s="4" t="s">
        <v>926</v>
      </c>
      <c r="AA108" s="4" t="s">
        <v>907</v>
      </c>
      <c r="AB108" s="8"/>
    </row>
    <row r="109" ht="22.5" customHeight="1">
      <c r="A109" s="3">
        <v>46193.83301731481</v>
      </c>
      <c r="B109" s="4">
        <v>2.0</v>
      </c>
      <c r="C109" s="5" t="str">
        <f>IFERROR(__xludf.DUMMYFUNCTION("""COMPUTED_VALUE"""),"S22")</f>
        <v>S22</v>
      </c>
      <c r="D109" s="4">
        <v>4.230176551523E12</v>
      </c>
      <c r="E109" s="4" t="s">
        <v>911</v>
      </c>
      <c r="F109" s="4" t="s">
        <v>29</v>
      </c>
      <c r="G109" s="4" t="s">
        <v>912</v>
      </c>
      <c r="H109" s="4" t="s">
        <v>287</v>
      </c>
      <c r="I109" s="4" t="s">
        <v>911</v>
      </c>
      <c r="J109" s="4" t="s">
        <v>60</v>
      </c>
      <c r="K109" s="4" t="s">
        <v>927</v>
      </c>
      <c r="L109" s="6">
        <v>49745.0</v>
      </c>
      <c r="M109" s="4">
        <v>4.230197366188E12</v>
      </c>
      <c r="N109" s="6">
        <v>37568.0</v>
      </c>
      <c r="O109" s="4" t="s">
        <v>148</v>
      </c>
      <c r="P109" s="4" t="s">
        <v>915</v>
      </c>
      <c r="Q109" s="4" t="s">
        <v>133</v>
      </c>
      <c r="R109" s="4" t="s">
        <v>928</v>
      </c>
      <c r="S109" s="4" t="s">
        <v>928</v>
      </c>
      <c r="T109" s="4" t="s">
        <v>911</v>
      </c>
      <c r="U109" s="4" t="s">
        <v>67</v>
      </c>
      <c r="V109" s="4" t="s">
        <v>913</v>
      </c>
      <c r="W109" s="4">
        <v>4.230199806201E12</v>
      </c>
      <c r="X109" s="4" t="s">
        <v>194</v>
      </c>
      <c r="Y109" s="4" t="s">
        <v>918</v>
      </c>
    </row>
    <row r="110" ht="22.5" customHeight="1">
      <c r="A110" s="3">
        <v>46193.85621629629</v>
      </c>
      <c r="B110" s="4">
        <v>2.0</v>
      </c>
      <c r="C110" s="5" t="str">
        <f>IFERROR(__xludf.DUMMYFUNCTION("""COMPUTED_VALUE"""),"L27")</f>
        <v>L27</v>
      </c>
      <c r="D110" s="4" t="s">
        <v>929</v>
      </c>
      <c r="E110" s="4" t="s">
        <v>162</v>
      </c>
      <c r="F110" s="4" t="s">
        <v>45</v>
      </c>
      <c r="G110" s="4" t="s">
        <v>930</v>
      </c>
      <c r="H110" s="4" t="s">
        <v>554</v>
      </c>
      <c r="I110" s="4" t="s">
        <v>931</v>
      </c>
      <c r="J110" s="4" t="s">
        <v>33</v>
      </c>
      <c r="K110" s="4" t="s">
        <v>932</v>
      </c>
      <c r="L110" s="6">
        <v>49174.0</v>
      </c>
      <c r="M110" s="4" t="s">
        <v>929</v>
      </c>
      <c r="N110" s="6">
        <v>38093.0</v>
      </c>
      <c r="O110" s="4" t="s">
        <v>933</v>
      </c>
      <c r="P110" s="4" t="s">
        <v>934</v>
      </c>
      <c r="Q110" s="4" t="s">
        <v>37</v>
      </c>
      <c r="R110" s="4" t="s">
        <v>935</v>
      </c>
      <c r="S110" s="4" t="s">
        <v>935</v>
      </c>
      <c r="V110" s="4" t="s">
        <v>931</v>
      </c>
      <c r="W110" s="4" t="s">
        <v>936</v>
      </c>
      <c r="X110" s="4" t="s">
        <v>40</v>
      </c>
      <c r="Y110" s="4" t="s">
        <v>937</v>
      </c>
      <c r="Z110" s="4" t="s">
        <v>938</v>
      </c>
      <c r="AA110" s="4" t="s">
        <v>162</v>
      </c>
      <c r="AB110" s="8"/>
    </row>
    <row r="111" ht="22.5" customHeight="1">
      <c r="A111" s="3">
        <v>46193.861035925926</v>
      </c>
      <c r="B111" s="4">
        <v>3.0</v>
      </c>
      <c r="C111" s="5" t="str">
        <f>IFERROR(__xludf.DUMMYFUNCTION("""COMPUTED_VALUE"""),"S21")</f>
        <v>S21</v>
      </c>
      <c r="D111" s="4">
        <v>4.230150485725E12</v>
      </c>
      <c r="E111" s="4" t="s">
        <v>842</v>
      </c>
      <c r="F111" s="4" t="s">
        <v>29</v>
      </c>
      <c r="G111" s="4" t="s">
        <v>837</v>
      </c>
      <c r="H111" s="4" t="s">
        <v>939</v>
      </c>
      <c r="I111" s="4" t="s">
        <v>940</v>
      </c>
      <c r="J111" s="4" t="s">
        <v>60</v>
      </c>
      <c r="K111" s="4" t="s">
        <v>941</v>
      </c>
      <c r="L111" s="6">
        <v>48236.0</v>
      </c>
      <c r="M111" s="4">
        <v>4.20000965721E12</v>
      </c>
      <c r="N111" s="6">
        <v>24239.0</v>
      </c>
      <c r="O111" s="4" t="s">
        <v>942</v>
      </c>
      <c r="P111" s="4" t="s">
        <v>833</v>
      </c>
      <c r="R111" s="4" t="s">
        <v>943</v>
      </c>
      <c r="S111" s="4" t="s">
        <v>943</v>
      </c>
      <c r="T111" s="4" t="s">
        <v>828</v>
      </c>
      <c r="U111" s="4" t="s">
        <v>853</v>
      </c>
      <c r="V111" s="4" t="s">
        <v>684</v>
      </c>
      <c r="W111" s="4">
        <v>4.200004222581E12</v>
      </c>
      <c r="X111" s="4" t="s">
        <v>79</v>
      </c>
      <c r="Y111" s="7" t="s">
        <v>944</v>
      </c>
    </row>
    <row r="112" ht="22.5" customHeight="1">
      <c r="A112" s="3">
        <v>46193.86743140046</v>
      </c>
      <c r="B112" s="4">
        <v>2.0</v>
      </c>
      <c r="C112" s="5" t="str">
        <f>IFERROR(__xludf.DUMMYFUNCTION("""COMPUTED_VALUE"""),"L28")</f>
        <v>L28</v>
      </c>
      <c r="D112" s="4" t="s">
        <v>945</v>
      </c>
      <c r="E112" s="4" t="s">
        <v>946</v>
      </c>
      <c r="F112" s="4" t="s">
        <v>45</v>
      </c>
      <c r="G112" s="4" t="s">
        <v>947</v>
      </c>
      <c r="H112" s="4" t="s">
        <v>948</v>
      </c>
      <c r="I112" s="4" t="s">
        <v>949</v>
      </c>
      <c r="J112" s="4" t="s">
        <v>33</v>
      </c>
      <c r="K112" s="4" t="s">
        <v>950</v>
      </c>
      <c r="L112" s="6">
        <v>46944.0</v>
      </c>
      <c r="M112" s="4">
        <v>4.200065774773E12</v>
      </c>
      <c r="N112" s="6">
        <v>36317.0</v>
      </c>
      <c r="O112" s="4" t="s">
        <v>248</v>
      </c>
      <c r="P112" s="4" t="s">
        <v>951</v>
      </c>
      <c r="Q112" s="4" t="s">
        <v>37</v>
      </c>
      <c r="R112" s="7" t="s">
        <v>952</v>
      </c>
      <c r="S112" s="7" t="s">
        <v>953</v>
      </c>
      <c r="V112" s="4" t="s">
        <v>954</v>
      </c>
      <c r="W112" s="4">
        <v>4.200066724773E12</v>
      </c>
      <c r="X112" s="4" t="s">
        <v>79</v>
      </c>
      <c r="Y112" s="7" t="s">
        <v>955</v>
      </c>
      <c r="Z112" s="4" t="s">
        <v>956</v>
      </c>
      <c r="AA112" s="4" t="s">
        <v>473</v>
      </c>
      <c r="AB112" s="8"/>
    </row>
    <row r="113" ht="22.5" customHeight="1">
      <c r="A113" s="3">
        <v>46193.87105607639</v>
      </c>
      <c r="B113" s="4">
        <v>5.0</v>
      </c>
      <c r="C113" s="5" t="str">
        <f>IFERROR(__xludf.DUMMYFUNCTION("""COMPUTED_VALUE"""),"S23")</f>
        <v>S23</v>
      </c>
      <c r="D113" s="4">
        <v>4.220134896197E12</v>
      </c>
      <c r="E113" s="4" t="s">
        <v>957</v>
      </c>
      <c r="F113" s="4" t="s">
        <v>29</v>
      </c>
      <c r="G113" s="4" t="s">
        <v>725</v>
      </c>
      <c r="H113" s="4" t="s">
        <v>958</v>
      </c>
      <c r="I113" s="4" t="s">
        <v>959</v>
      </c>
      <c r="J113" s="4" t="s">
        <v>33</v>
      </c>
      <c r="K113" s="4" t="s">
        <v>960</v>
      </c>
      <c r="L113" s="6">
        <v>48773.0</v>
      </c>
      <c r="M113" s="4">
        <v>4.220134896197E12</v>
      </c>
      <c r="N113" s="6">
        <v>29368.0</v>
      </c>
      <c r="O113" s="4" t="s">
        <v>117</v>
      </c>
      <c r="P113" s="4" t="s">
        <v>961</v>
      </c>
      <c r="Q113" s="4" t="s">
        <v>119</v>
      </c>
      <c r="R113" s="7" t="s">
        <v>962</v>
      </c>
      <c r="S113" s="7" t="s">
        <v>962</v>
      </c>
      <c r="T113" s="4" t="s">
        <v>963</v>
      </c>
      <c r="U113" s="4" t="s">
        <v>67</v>
      </c>
      <c r="V113" s="4" t="s">
        <v>964</v>
      </c>
      <c r="W113" s="4">
        <v>4.220133527635E12</v>
      </c>
      <c r="X113" s="4" t="s">
        <v>87</v>
      </c>
      <c r="Y113" s="7" t="s">
        <v>965</v>
      </c>
      <c r="Z113" s="4" t="s">
        <v>966</v>
      </c>
      <c r="AA113" s="4" t="s">
        <v>957</v>
      </c>
      <c r="AB113" s="8"/>
    </row>
    <row r="114" ht="22.5" customHeight="1">
      <c r="A114" s="3">
        <v>46193.87310920139</v>
      </c>
      <c r="B114" s="4">
        <v>2.0</v>
      </c>
      <c r="C114" s="5" t="str">
        <f>IFERROR(__xludf.DUMMYFUNCTION("""COMPUTED_VALUE"""),"L28")</f>
        <v>L28</v>
      </c>
      <c r="D114" s="4" t="s">
        <v>945</v>
      </c>
      <c r="E114" s="4" t="s">
        <v>948</v>
      </c>
      <c r="F114" s="4" t="s">
        <v>45</v>
      </c>
      <c r="G114" s="4" t="s">
        <v>967</v>
      </c>
      <c r="H114" s="4" t="s">
        <v>968</v>
      </c>
      <c r="I114" s="4" t="s">
        <v>948</v>
      </c>
      <c r="J114" s="4" t="s">
        <v>60</v>
      </c>
      <c r="K114" s="4" t="s">
        <v>969</v>
      </c>
      <c r="L114" s="6">
        <v>49686.0</v>
      </c>
      <c r="M114" s="4" t="s">
        <v>970</v>
      </c>
      <c r="N114" s="6">
        <v>38987.0</v>
      </c>
      <c r="O114" s="4" t="s">
        <v>904</v>
      </c>
      <c r="P114" s="4" t="s">
        <v>971</v>
      </c>
      <c r="Q114" s="4" t="s">
        <v>37</v>
      </c>
      <c r="R114" s="7" t="s">
        <v>972</v>
      </c>
      <c r="S114" s="7" t="s">
        <v>972</v>
      </c>
      <c r="T114" s="4" t="s">
        <v>948</v>
      </c>
      <c r="U114" s="4" t="s">
        <v>193</v>
      </c>
      <c r="V114" s="4" t="s">
        <v>948</v>
      </c>
      <c r="W114" s="4" t="s">
        <v>945</v>
      </c>
      <c r="X114" s="4" t="s">
        <v>193</v>
      </c>
      <c r="Y114" s="4" t="s">
        <v>973</v>
      </c>
      <c r="Z114" s="4" t="s">
        <v>956</v>
      </c>
      <c r="AA114" s="4" t="s">
        <v>473</v>
      </c>
      <c r="AB114" s="8"/>
    </row>
    <row r="115" ht="22.5" customHeight="1">
      <c r="A115" s="3">
        <v>46193.87712341435</v>
      </c>
      <c r="B115" s="4" t="s">
        <v>974</v>
      </c>
      <c r="C115" s="5" t="str">
        <f>IFERROR(__xludf.DUMMYFUNCTION("""COMPUTED_VALUE"""),"S24")</f>
        <v>S24</v>
      </c>
      <c r="D115" s="4">
        <v>4.220167655626E12</v>
      </c>
      <c r="E115" s="4" t="s">
        <v>975</v>
      </c>
      <c r="F115" s="4" t="s">
        <v>29</v>
      </c>
      <c r="G115" s="4" t="s">
        <v>958</v>
      </c>
      <c r="H115" s="4" t="s">
        <v>957</v>
      </c>
      <c r="I115" s="4" t="s">
        <v>957</v>
      </c>
      <c r="J115" s="4" t="s">
        <v>60</v>
      </c>
      <c r="K115" s="4" t="s">
        <v>976</v>
      </c>
      <c r="L115" s="6">
        <v>48773.0</v>
      </c>
      <c r="M115" s="4">
        <v>4.220167655626E12</v>
      </c>
      <c r="N115" s="6">
        <v>29673.0</v>
      </c>
      <c r="O115" s="4" t="s">
        <v>117</v>
      </c>
      <c r="P115" s="4" t="s">
        <v>977</v>
      </c>
      <c r="Q115" s="4" t="s">
        <v>119</v>
      </c>
      <c r="R115" s="7" t="s">
        <v>962</v>
      </c>
      <c r="S115" s="7" t="s">
        <v>962</v>
      </c>
      <c r="T115" s="4" t="s">
        <v>957</v>
      </c>
      <c r="U115" s="4" t="s">
        <v>65</v>
      </c>
      <c r="V115" s="4" t="s">
        <v>964</v>
      </c>
      <c r="W115" s="4">
        <v>4.220133527635E12</v>
      </c>
      <c r="X115" s="4" t="s">
        <v>87</v>
      </c>
      <c r="Y115" s="7" t="s">
        <v>965</v>
      </c>
      <c r="Z115" s="4" t="s">
        <v>966</v>
      </c>
      <c r="AA115" s="4" t="s">
        <v>978</v>
      </c>
      <c r="AB115" s="8"/>
    </row>
    <row r="116" ht="22.5" customHeight="1">
      <c r="A116" s="3">
        <v>46193.90336296296</v>
      </c>
      <c r="B116" s="4">
        <v>2.0</v>
      </c>
      <c r="C116" s="5" t="str">
        <f>IFERROR(__xludf.DUMMYFUNCTION("""COMPUTED_VALUE"""),"L27")</f>
        <v>L27</v>
      </c>
      <c r="D116" s="4" t="s">
        <v>929</v>
      </c>
      <c r="E116" s="4" t="s">
        <v>162</v>
      </c>
      <c r="F116" s="4" t="s">
        <v>45</v>
      </c>
      <c r="G116" s="4" t="s">
        <v>979</v>
      </c>
      <c r="H116" s="4" t="s">
        <v>980</v>
      </c>
      <c r="I116" s="4" t="s">
        <v>698</v>
      </c>
      <c r="J116" s="4" t="s">
        <v>60</v>
      </c>
      <c r="K116" s="4" t="s">
        <v>981</v>
      </c>
      <c r="L116" s="6">
        <v>47980.0</v>
      </c>
      <c r="M116" s="4" t="s">
        <v>982</v>
      </c>
      <c r="N116" s="6">
        <v>39312.0</v>
      </c>
      <c r="O116" s="4" t="s">
        <v>983</v>
      </c>
      <c r="P116" s="4" t="s">
        <v>984</v>
      </c>
      <c r="Q116" s="4" t="s">
        <v>37</v>
      </c>
      <c r="R116" s="4" t="s">
        <v>935</v>
      </c>
      <c r="S116" s="4" t="s">
        <v>935</v>
      </c>
      <c r="T116" s="4" t="s">
        <v>985</v>
      </c>
      <c r="U116" s="4" t="s">
        <v>65</v>
      </c>
      <c r="V116" s="4" t="s">
        <v>986</v>
      </c>
      <c r="W116" s="4" t="s">
        <v>936</v>
      </c>
      <c r="X116" s="4" t="s">
        <v>987</v>
      </c>
      <c r="Y116" s="4" t="s">
        <v>937</v>
      </c>
      <c r="Z116" s="4" t="s">
        <v>938</v>
      </c>
      <c r="AA116" s="4" t="s">
        <v>985</v>
      </c>
      <c r="AB116" s="8"/>
    </row>
    <row r="117" ht="22.5" customHeight="1">
      <c r="A117" s="3">
        <v>46194.00647608796</v>
      </c>
      <c r="B117" s="4">
        <v>2.0</v>
      </c>
      <c r="C117" s="5" t="str">
        <f>IFERROR(__xludf.DUMMYFUNCTION("""COMPUTED_VALUE"""),"L29")</f>
        <v>L29</v>
      </c>
      <c r="D117" s="4">
        <v>4.210171138669E12</v>
      </c>
      <c r="E117" s="4" t="s">
        <v>988</v>
      </c>
      <c r="F117" s="4" t="s">
        <v>45</v>
      </c>
      <c r="G117" s="4" t="s">
        <v>989</v>
      </c>
      <c r="H117" s="4" t="s">
        <v>990</v>
      </c>
      <c r="I117" s="4" t="s">
        <v>991</v>
      </c>
      <c r="J117" s="4" t="s">
        <v>33</v>
      </c>
      <c r="M117" s="4">
        <v>4.210171138669E12</v>
      </c>
      <c r="N117" s="6">
        <v>36188.0</v>
      </c>
      <c r="O117" s="4" t="s">
        <v>160</v>
      </c>
      <c r="P117" s="4" t="s">
        <v>992</v>
      </c>
      <c r="Q117" s="4" t="s">
        <v>52</v>
      </c>
      <c r="R117" s="7" t="s">
        <v>993</v>
      </c>
      <c r="S117" s="7" t="s">
        <v>993</v>
      </c>
      <c r="T117" s="4" t="s">
        <v>994</v>
      </c>
      <c r="U117" s="4" t="s">
        <v>67</v>
      </c>
      <c r="V117" s="4" t="s">
        <v>995</v>
      </c>
      <c r="W117" s="4">
        <v>4.210140842291E12</v>
      </c>
      <c r="X117" s="4" t="s">
        <v>79</v>
      </c>
      <c r="Y117" s="7" t="s">
        <v>996</v>
      </c>
    </row>
    <row r="118" ht="22.5" customHeight="1">
      <c r="A118" s="3">
        <v>46194.01096717593</v>
      </c>
      <c r="B118" s="4">
        <v>2.0</v>
      </c>
      <c r="C118" s="5" t="str">
        <f>IFERROR(__xludf.DUMMYFUNCTION("""COMPUTED_VALUE"""),"L30")</f>
        <v>L30</v>
      </c>
      <c r="D118" s="4">
        <v>4.200085078307E12</v>
      </c>
      <c r="E118" s="4" t="s">
        <v>997</v>
      </c>
      <c r="F118" s="4" t="s">
        <v>45</v>
      </c>
      <c r="G118" s="4" t="s">
        <v>998</v>
      </c>
      <c r="H118" s="4" t="s">
        <v>999</v>
      </c>
      <c r="I118" s="4" t="s">
        <v>997</v>
      </c>
      <c r="J118" s="4" t="s">
        <v>60</v>
      </c>
      <c r="K118" s="4" t="s">
        <v>1000</v>
      </c>
      <c r="L118" s="6">
        <v>47657.0</v>
      </c>
      <c r="M118" s="4">
        <v>4.220155246048E12</v>
      </c>
      <c r="N118" s="6">
        <v>38803.0</v>
      </c>
      <c r="O118" s="4" t="s">
        <v>148</v>
      </c>
      <c r="P118" s="4" t="s">
        <v>1001</v>
      </c>
      <c r="Q118" s="4" t="s">
        <v>133</v>
      </c>
      <c r="R118" s="7" t="s">
        <v>1002</v>
      </c>
      <c r="S118" s="7" t="s">
        <v>1002</v>
      </c>
      <c r="T118" s="4" t="s">
        <v>997</v>
      </c>
      <c r="U118" s="4" t="s">
        <v>270</v>
      </c>
      <c r="V118" s="4" t="s">
        <v>1003</v>
      </c>
      <c r="W118" s="4">
        <v>4.200003691447E12</v>
      </c>
      <c r="X118" s="4" t="s">
        <v>1004</v>
      </c>
      <c r="Y118" s="7" t="s">
        <v>1005</v>
      </c>
      <c r="Z118" s="4" t="s">
        <v>1006</v>
      </c>
      <c r="AA118" s="4" t="s">
        <v>997</v>
      </c>
      <c r="AB118" s="8"/>
    </row>
    <row r="119" ht="22.5" customHeight="1">
      <c r="A119" s="3">
        <v>46194.01596234954</v>
      </c>
      <c r="B119" s="4">
        <v>2.0</v>
      </c>
      <c r="C119" s="5" t="str">
        <f>IFERROR(__xludf.DUMMYFUNCTION("""COMPUTED_VALUE"""),"L30")</f>
        <v>L30</v>
      </c>
      <c r="D119" s="4">
        <v>4.200085078307E12</v>
      </c>
      <c r="E119" s="4" t="s">
        <v>997</v>
      </c>
      <c r="F119" s="4" t="s">
        <v>45</v>
      </c>
      <c r="G119" s="4" t="s">
        <v>998</v>
      </c>
      <c r="H119" s="4" t="s">
        <v>291</v>
      </c>
      <c r="I119" s="4" t="s">
        <v>1003</v>
      </c>
      <c r="J119" s="4" t="s">
        <v>33</v>
      </c>
      <c r="K119" s="4" t="s">
        <v>1007</v>
      </c>
      <c r="L119" s="6">
        <v>48513.0</v>
      </c>
      <c r="M119" s="4">
        <v>4.200085078307E12</v>
      </c>
      <c r="N119" s="6">
        <v>36400.0</v>
      </c>
      <c r="O119" s="4" t="s">
        <v>148</v>
      </c>
      <c r="P119" s="4" t="s">
        <v>1001</v>
      </c>
      <c r="Q119" s="4" t="s">
        <v>52</v>
      </c>
      <c r="R119" s="7" t="s">
        <v>1008</v>
      </c>
      <c r="S119" s="7" t="s">
        <v>1008</v>
      </c>
      <c r="V119" s="4" t="s">
        <v>1003</v>
      </c>
      <c r="W119" s="4">
        <v>4.200003691447E12</v>
      </c>
      <c r="X119" s="4" t="s">
        <v>1009</v>
      </c>
      <c r="Y119" s="7" t="s">
        <v>1005</v>
      </c>
      <c r="Z119" s="4" t="s">
        <v>1006</v>
      </c>
      <c r="AA119" s="4" t="s">
        <v>997</v>
      </c>
      <c r="AB119" s="8"/>
    </row>
    <row r="120" ht="22.5" customHeight="1">
      <c r="A120" s="3">
        <v>46194.15145358796</v>
      </c>
      <c r="B120" s="4">
        <v>1.0</v>
      </c>
      <c r="C120" s="5" t="str">
        <f>IFERROR(__xludf.DUMMYFUNCTION("""COMPUTED_VALUE"""),"L31")</f>
        <v>L31</v>
      </c>
      <c r="D120" s="4">
        <v>4.230111145707E12</v>
      </c>
      <c r="E120" s="4" t="s">
        <v>1010</v>
      </c>
      <c r="F120" s="4" t="s">
        <v>45</v>
      </c>
      <c r="G120" s="4" t="s">
        <v>31</v>
      </c>
      <c r="H120" s="4" t="s">
        <v>1011</v>
      </c>
      <c r="I120" s="4" t="s">
        <v>726</v>
      </c>
      <c r="J120" s="4" t="s">
        <v>33</v>
      </c>
      <c r="K120" s="4" t="s">
        <v>1012</v>
      </c>
      <c r="M120" s="4">
        <v>4.230111145707E12</v>
      </c>
      <c r="N120" s="6">
        <v>39528.0</v>
      </c>
      <c r="O120" s="4" t="s">
        <v>512</v>
      </c>
      <c r="P120" s="4" t="s">
        <v>1013</v>
      </c>
      <c r="Q120" s="4" t="s">
        <v>52</v>
      </c>
      <c r="R120" s="7" t="s">
        <v>1014</v>
      </c>
      <c r="S120" s="7" t="s">
        <v>1014</v>
      </c>
      <c r="T120" s="4" t="s">
        <v>1015</v>
      </c>
      <c r="U120" s="4" t="s">
        <v>1015</v>
      </c>
      <c r="V120" s="4" t="s">
        <v>1016</v>
      </c>
      <c r="W120" s="4">
        <v>4.230113321331E12</v>
      </c>
      <c r="X120" s="4" t="s">
        <v>40</v>
      </c>
      <c r="Y120" s="7" t="s">
        <v>1017</v>
      </c>
    </row>
    <row r="121" ht="22.5" customHeight="1">
      <c r="A121" s="3">
        <v>46194.21358260416</v>
      </c>
      <c r="B121" s="4">
        <v>2.0</v>
      </c>
      <c r="C121" s="5" t="str">
        <f>IFERROR(__xludf.DUMMYFUNCTION("""COMPUTED_VALUE"""),"L32")</f>
        <v>L32</v>
      </c>
      <c r="D121" s="4" t="s">
        <v>1018</v>
      </c>
      <c r="E121" s="4" t="s">
        <v>1019</v>
      </c>
      <c r="F121" s="4" t="s">
        <v>45</v>
      </c>
      <c r="G121" s="4" t="s">
        <v>1020</v>
      </c>
      <c r="H121" s="4" t="s">
        <v>566</v>
      </c>
      <c r="I121" s="4" t="s">
        <v>1019</v>
      </c>
      <c r="J121" s="4" t="s">
        <v>60</v>
      </c>
      <c r="K121" s="4" t="s">
        <v>1021</v>
      </c>
      <c r="L121" s="6">
        <v>48999.0</v>
      </c>
      <c r="M121" s="4" t="s">
        <v>1022</v>
      </c>
      <c r="N121" s="6">
        <v>38386.0</v>
      </c>
      <c r="O121" s="4" t="s">
        <v>529</v>
      </c>
      <c r="P121" s="4" t="s">
        <v>1023</v>
      </c>
      <c r="Q121" s="4" t="s">
        <v>37</v>
      </c>
      <c r="R121" s="4" t="s">
        <v>1024</v>
      </c>
      <c r="S121" s="4" t="s">
        <v>1024</v>
      </c>
      <c r="T121" s="4" t="s">
        <v>1019</v>
      </c>
      <c r="U121" s="4" t="s">
        <v>65</v>
      </c>
      <c r="V121" s="4" t="s">
        <v>1025</v>
      </c>
      <c r="W121" s="4" t="s">
        <v>1026</v>
      </c>
      <c r="X121" s="4" t="s">
        <v>40</v>
      </c>
      <c r="Y121" s="4" t="s">
        <v>1027</v>
      </c>
      <c r="Z121" s="4" t="s">
        <v>1015</v>
      </c>
      <c r="AA121" s="4" t="s">
        <v>1015</v>
      </c>
      <c r="AB121" s="8"/>
    </row>
    <row r="122" ht="22.5" customHeight="1">
      <c r="A122" s="3">
        <v>46194.22244516204</v>
      </c>
      <c r="B122" s="4">
        <v>2.0</v>
      </c>
      <c r="C122" s="5" t="str">
        <f>IFERROR(__xludf.DUMMYFUNCTION("""COMPUTED_VALUE"""),"L32")</f>
        <v>L32</v>
      </c>
      <c r="D122" s="4" t="s">
        <v>1018</v>
      </c>
      <c r="E122" s="4" t="s">
        <v>1028</v>
      </c>
      <c r="F122" s="4" t="s">
        <v>45</v>
      </c>
      <c r="G122" s="4" t="s">
        <v>1020</v>
      </c>
      <c r="H122" s="4" t="s">
        <v>31</v>
      </c>
      <c r="I122" s="4" t="s">
        <v>1029</v>
      </c>
      <c r="J122" s="4" t="s">
        <v>33</v>
      </c>
      <c r="K122" s="4" t="s">
        <v>1030</v>
      </c>
      <c r="L122" s="6">
        <v>48898.0</v>
      </c>
      <c r="M122" s="4" t="s">
        <v>1018</v>
      </c>
      <c r="N122" s="6">
        <v>34874.0</v>
      </c>
      <c r="O122" s="4" t="s">
        <v>429</v>
      </c>
      <c r="P122" s="4" t="s">
        <v>1031</v>
      </c>
      <c r="Q122" s="4" t="s">
        <v>37</v>
      </c>
      <c r="R122" s="7" t="s">
        <v>1032</v>
      </c>
      <c r="S122" s="7" t="s">
        <v>1032</v>
      </c>
      <c r="V122" s="4" t="s">
        <v>1029</v>
      </c>
      <c r="W122" s="4" t="s">
        <v>1033</v>
      </c>
      <c r="X122" s="4" t="s">
        <v>40</v>
      </c>
      <c r="Y122" s="7" t="s">
        <v>1034</v>
      </c>
      <c r="Z122" s="4">
        <v>9.9660111964683E13</v>
      </c>
      <c r="AA122" s="4" t="s">
        <v>1035</v>
      </c>
      <c r="AB122" s="8"/>
    </row>
    <row r="123" ht="22.5" customHeight="1">
      <c r="A123" s="3">
        <v>46194.24527457176</v>
      </c>
      <c r="B123" s="4">
        <v>3.0</v>
      </c>
      <c r="C123" s="5" t="str">
        <f>IFERROR(__xludf.DUMMYFUNCTION("""COMPUTED_VALUE"""),"L25")</f>
        <v>L25</v>
      </c>
      <c r="D123" s="4">
        <v>4.210107058009E12</v>
      </c>
      <c r="E123" s="4" t="s">
        <v>877</v>
      </c>
      <c r="F123" s="4" t="s">
        <v>45</v>
      </c>
      <c r="G123" s="4" t="s">
        <v>1036</v>
      </c>
      <c r="H123" s="4" t="s">
        <v>1037</v>
      </c>
      <c r="I123" s="4" t="s">
        <v>1038</v>
      </c>
      <c r="J123" s="4" t="s">
        <v>33</v>
      </c>
      <c r="K123" s="4" t="s">
        <v>1039</v>
      </c>
      <c r="L123" s="6">
        <v>47526.0</v>
      </c>
      <c r="M123" s="4">
        <v>3.520201933655E12</v>
      </c>
      <c r="N123" s="6">
        <v>36868.0</v>
      </c>
      <c r="O123" s="4" t="s">
        <v>160</v>
      </c>
      <c r="P123" s="4" t="s">
        <v>1040</v>
      </c>
      <c r="Q123" s="4" t="s">
        <v>119</v>
      </c>
      <c r="R123" s="7" t="s">
        <v>1041</v>
      </c>
      <c r="S123" s="7" t="s">
        <v>1041</v>
      </c>
      <c r="V123" s="4" t="s">
        <v>1038</v>
      </c>
      <c r="W123" s="4">
        <v>3.520276091329E12</v>
      </c>
      <c r="X123" s="4" t="s">
        <v>40</v>
      </c>
      <c r="Y123" s="7" t="s">
        <v>1042</v>
      </c>
      <c r="Z123" s="4" t="s">
        <v>1043</v>
      </c>
      <c r="AA123" s="4" t="s">
        <v>1037</v>
      </c>
      <c r="AB123" s="8"/>
    </row>
    <row r="124" ht="22.5" customHeight="1">
      <c r="A124" s="3">
        <v>46194.38544982639</v>
      </c>
      <c r="B124" s="4">
        <v>2.0</v>
      </c>
      <c r="C124" s="5" t="str">
        <f>IFERROR(__xludf.DUMMYFUNCTION("""COMPUTED_VALUE"""),"S25")</f>
        <v>S25</v>
      </c>
      <c r="D124" s="4">
        <v>4.220182958563E12</v>
      </c>
      <c r="E124" s="4" t="s">
        <v>1044</v>
      </c>
      <c r="F124" s="4" t="s">
        <v>29</v>
      </c>
      <c r="G124" s="4" t="s">
        <v>1045</v>
      </c>
      <c r="H124" s="4" t="s">
        <v>31</v>
      </c>
      <c r="I124" s="4" t="s">
        <v>1046</v>
      </c>
      <c r="J124" s="4" t="s">
        <v>33</v>
      </c>
      <c r="K124" s="4" t="s">
        <v>1047</v>
      </c>
      <c r="L124" s="6">
        <v>47545.0</v>
      </c>
      <c r="M124" s="4">
        <v>4.220182958563E12</v>
      </c>
      <c r="N124" s="6">
        <v>27832.0</v>
      </c>
      <c r="O124" s="4" t="s">
        <v>148</v>
      </c>
      <c r="P124" s="4" t="s">
        <v>1048</v>
      </c>
      <c r="Q124" s="4" t="s">
        <v>52</v>
      </c>
      <c r="R124" s="4" t="s">
        <v>1049</v>
      </c>
      <c r="S124" s="4" t="s">
        <v>1049</v>
      </c>
      <c r="T124" s="4" t="s">
        <v>420</v>
      </c>
      <c r="U124" s="4" t="s">
        <v>67</v>
      </c>
      <c r="V124" s="4" t="s">
        <v>1050</v>
      </c>
      <c r="W124" s="4">
        <v>4.220160124523E12</v>
      </c>
      <c r="X124" s="4" t="s">
        <v>87</v>
      </c>
      <c r="Y124" s="4" t="s">
        <v>1051</v>
      </c>
      <c r="Z124" s="7" t="s">
        <v>1052</v>
      </c>
      <c r="AA124" s="4" t="s">
        <v>1053</v>
      </c>
      <c r="AB124" s="8"/>
    </row>
    <row r="125" ht="22.5" customHeight="1">
      <c r="A125" s="3">
        <v>46194.39040340278</v>
      </c>
      <c r="B125" s="4">
        <v>2.0</v>
      </c>
      <c r="C125" s="5" t="str">
        <f>IFERROR(__xludf.DUMMYFUNCTION("""COMPUTED_VALUE"""),"S25")</f>
        <v>S25</v>
      </c>
      <c r="D125" s="4">
        <v>4.220182958563E12</v>
      </c>
      <c r="E125" s="4" t="s">
        <v>1044</v>
      </c>
      <c r="F125" s="4" t="s">
        <v>29</v>
      </c>
      <c r="G125" s="4" t="s">
        <v>1045</v>
      </c>
      <c r="H125" s="4" t="s">
        <v>420</v>
      </c>
      <c r="I125" s="4" t="s">
        <v>1045</v>
      </c>
      <c r="J125" s="4" t="s">
        <v>60</v>
      </c>
      <c r="K125" s="4" t="s">
        <v>1054</v>
      </c>
      <c r="L125" s="6">
        <v>47546.0</v>
      </c>
      <c r="M125" s="4">
        <v>4.220148420108E12</v>
      </c>
      <c r="N125" s="6">
        <v>30840.0</v>
      </c>
      <c r="O125" s="4" t="s">
        <v>1055</v>
      </c>
      <c r="P125" s="4" t="s">
        <v>1048</v>
      </c>
      <c r="Q125" s="4" t="s">
        <v>52</v>
      </c>
      <c r="R125" s="4" t="s">
        <v>1056</v>
      </c>
      <c r="S125" s="4" t="s">
        <v>1056</v>
      </c>
      <c r="T125" s="4" t="s">
        <v>1045</v>
      </c>
      <c r="U125" s="4" t="s">
        <v>65</v>
      </c>
      <c r="V125" s="4" t="s">
        <v>1050</v>
      </c>
      <c r="W125" s="4">
        <v>4.220160124523E12</v>
      </c>
      <c r="X125" s="4" t="s">
        <v>498</v>
      </c>
      <c r="Y125" s="7" t="s">
        <v>1057</v>
      </c>
      <c r="Z125" s="7" t="s">
        <v>1052</v>
      </c>
      <c r="AA125" s="4" t="s">
        <v>1050</v>
      </c>
      <c r="AB125" s="8"/>
    </row>
    <row r="126" ht="22.5" customHeight="1">
      <c r="A126" s="3">
        <v>46194.55541003472</v>
      </c>
      <c r="B126" s="4">
        <v>1.0</v>
      </c>
      <c r="C126" s="5" t="str">
        <f>IFERROR(__xludf.DUMMYFUNCTION("""COMPUTED_VALUE"""),"S26")</f>
        <v>S26</v>
      </c>
      <c r="D126" s="4" t="s">
        <v>1058</v>
      </c>
      <c r="E126" s="4" t="s">
        <v>1059</v>
      </c>
      <c r="F126" s="4" t="s">
        <v>29</v>
      </c>
      <c r="G126" s="4" t="s">
        <v>1060</v>
      </c>
      <c r="H126" s="4" t="s">
        <v>1059</v>
      </c>
      <c r="I126" s="4" t="s">
        <v>527</v>
      </c>
      <c r="J126" s="4" t="s">
        <v>33</v>
      </c>
      <c r="K126" s="4" t="s">
        <v>1061</v>
      </c>
      <c r="L126" s="6">
        <v>49832.0</v>
      </c>
      <c r="M126" s="4" t="s">
        <v>1058</v>
      </c>
      <c r="N126" s="6">
        <v>30334.0</v>
      </c>
      <c r="O126" s="4" t="s">
        <v>758</v>
      </c>
      <c r="P126" s="4" t="s">
        <v>1062</v>
      </c>
      <c r="Q126" s="4" t="s">
        <v>119</v>
      </c>
      <c r="R126" s="7" t="s">
        <v>1063</v>
      </c>
      <c r="S126" s="7" t="s">
        <v>1063</v>
      </c>
      <c r="T126" s="4" t="s">
        <v>1064</v>
      </c>
      <c r="U126" s="4" t="s">
        <v>1064</v>
      </c>
      <c r="V126" s="4" t="s">
        <v>1065</v>
      </c>
      <c r="W126" s="4" t="s">
        <v>1066</v>
      </c>
      <c r="X126" s="4" t="s">
        <v>67</v>
      </c>
      <c r="Y126" s="7" t="s">
        <v>1067</v>
      </c>
      <c r="Z126" s="4" t="s">
        <v>1068</v>
      </c>
      <c r="AA126" s="4" t="s">
        <v>1069</v>
      </c>
      <c r="AB126" s="8"/>
    </row>
    <row r="127" ht="22.5" customHeight="1">
      <c r="A127" s="3">
        <v>46194.55655734954</v>
      </c>
      <c r="B127" s="4">
        <v>2.0</v>
      </c>
      <c r="C127" s="5" t="str">
        <f>IFERROR(__xludf.DUMMYFUNCTION("""COMPUTED_VALUE"""),"L33")</f>
        <v>L33</v>
      </c>
      <c r="D127" s="4" t="s">
        <v>1070</v>
      </c>
      <c r="E127" s="4" t="s">
        <v>1071</v>
      </c>
      <c r="F127" s="4" t="s">
        <v>45</v>
      </c>
      <c r="G127" s="4" t="s">
        <v>1072</v>
      </c>
      <c r="H127" s="4" t="s">
        <v>1072</v>
      </c>
      <c r="I127" s="4" t="s">
        <v>1073</v>
      </c>
      <c r="J127" s="4" t="s">
        <v>33</v>
      </c>
      <c r="K127" s="4" t="s">
        <v>1074</v>
      </c>
      <c r="L127" s="6">
        <v>47707.0</v>
      </c>
      <c r="M127" s="4" t="s">
        <v>1070</v>
      </c>
      <c r="N127" s="6">
        <v>28362.0</v>
      </c>
      <c r="O127" s="4" t="s">
        <v>1075</v>
      </c>
      <c r="P127" s="4" t="s">
        <v>1076</v>
      </c>
      <c r="Q127" s="4" t="s">
        <v>37</v>
      </c>
      <c r="R127" s="4" t="s">
        <v>1077</v>
      </c>
      <c r="S127" s="4" t="s">
        <v>1077</v>
      </c>
      <c r="V127" s="4" t="s">
        <v>283</v>
      </c>
      <c r="W127" s="4" t="s">
        <v>1078</v>
      </c>
      <c r="X127" s="4" t="s">
        <v>1079</v>
      </c>
      <c r="Y127" s="4" t="s">
        <v>1080</v>
      </c>
      <c r="Z127" s="4" t="s">
        <v>1081</v>
      </c>
      <c r="AA127" s="4" t="s">
        <v>1071</v>
      </c>
      <c r="AB127" s="8"/>
    </row>
    <row r="128" ht="22.5" customHeight="1">
      <c r="A128" s="3">
        <v>46194.560985081014</v>
      </c>
      <c r="B128" s="4">
        <v>6.0</v>
      </c>
      <c r="C128" s="5" t="str">
        <f>IFERROR(__xludf.DUMMYFUNCTION("""COMPUTED_VALUE"""),"L34")</f>
        <v>L34</v>
      </c>
      <c r="D128" s="4" t="s">
        <v>1082</v>
      </c>
      <c r="E128" s="4" t="s">
        <v>1083</v>
      </c>
      <c r="F128" s="4" t="s">
        <v>45</v>
      </c>
      <c r="G128" s="4" t="s">
        <v>734</v>
      </c>
      <c r="H128" s="4" t="s">
        <v>1084</v>
      </c>
      <c r="I128" s="4" t="s">
        <v>1085</v>
      </c>
      <c r="J128" s="4" t="s">
        <v>33</v>
      </c>
      <c r="K128" s="4" t="s">
        <v>1086</v>
      </c>
      <c r="L128" s="6">
        <v>48575.0</v>
      </c>
      <c r="M128" s="4" t="s">
        <v>1082</v>
      </c>
      <c r="N128" s="6">
        <v>36228.0</v>
      </c>
      <c r="O128" s="4" t="s">
        <v>148</v>
      </c>
      <c r="P128" s="4" t="s">
        <v>1087</v>
      </c>
      <c r="Q128" s="4" t="s">
        <v>37</v>
      </c>
      <c r="R128" s="4" t="s">
        <v>1088</v>
      </c>
      <c r="S128" s="4" t="s">
        <v>1088</v>
      </c>
      <c r="V128" s="4" t="s">
        <v>1089</v>
      </c>
      <c r="W128" s="4" t="s">
        <v>1090</v>
      </c>
      <c r="X128" s="4" t="s">
        <v>498</v>
      </c>
      <c r="Y128" s="4" t="s">
        <v>1091</v>
      </c>
      <c r="Z128" s="4" t="s">
        <v>1092</v>
      </c>
      <c r="AA128" s="4" t="s">
        <v>1093</v>
      </c>
      <c r="AB128" s="8"/>
    </row>
    <row r="129" ht="22.5" customHeight="1">
      <c r="A129" s="3">
        <v>46194.56131023148</v>
      </c>
      <c r="B129" s="4">
        <v>2.0</v>
      </c>
      <c r="C129" s="5" t="str">
        <f>IFERROR(__xludf.DUMMYFUNCTION("""COMPUTED_VALUE"""),"L29")</f>
        <v>L29</v>
      </c>
      <c r="D129" s="4">
        <v>4.210171138669E12</v>
      </c>
      <c r="E129" s="4" t="s">
        <v>1094</v>
      </c>
      <c r="F129" s="4" t="s">
        <v>45</v>
      </c>
      <c r="G129" s="4" t="s">
        <v>1095</v>
      </c>
      <c r="H129" s="4" t="s">
        <v>994</v>
      </c>
      <c r="I129" s="4" t="s">
        <v>1094</v>
      </c>
      <c r="J129" s="4" t="s">
        <v>60</v>
      </c>
      <c r="M129" s="4">
        <v>4.23012604896E12</v>
      </c>
      <c r="N129" s="6">
        <v>39060.0</v>
      </c>
      <c r="O129" s="4" t="s">
        <v>160</v>
      </c>
      <c r="P129" s="4" t="s">
        <v>1096</v>
      </c>
      <c r="Q129" s="4" t="s">
        <v>52</v>
      </c>
      <c r="R129" s="7" t="s">
        <v>993</v>
      </c>
      <c r="S129" s="7" t="s">
        <v>993</v>
      </c>
      <c r="T129" s="4" t="s">
        <v>1094</v>
      </c>
      <c r="U129" s="4" t="s">
        <v>65</v>
      </c>
      <c r="V129" s="4" t="s">
        <v>1097</v>
      </c>
      <c r="W129" s="4">
        <v>4.210114678372E12</v>
      </c>
      <c r="X129" s="4" t="s">
        <v>1098</v>
      </c>
      <c r="Y129" s="7" t="s">
        <v>1099</v>
      </c>
    </row>
    <row r="130" ht="22.5" customHeight="1">
      <c r="A130" s="3">
        <v>46194.56282525463</v>
      </c>
      <c r="B130" s="4">
        <v>2.0</v>
      </c>
      <c r="C130" s="5" t="str">
        <f>IFERROR(__xludf.DUMMYFUNCTION("""COMPUTED_VALUE"""),"L29")</f>
        <v>L29</v>
      </c>
      <c r="D130" s="4">
        <v>4.210171138669E12</v>
      </c>
      <c r="E130" s="4" t="s">
        <v>1094</v>
      </c>
      <c r="F130" s="4" t="s">
        <v>45</v>
      </c>
      <c r="G130" s="4" t="s">
        <v>989</v>
      </c>
      <c r="H130" s="4" t="s">
        <v>1100</v>
      </c>
      <c r="I130" s="4" t="s">
        <v>1101</v>
      </c>
      <c r="J130" s="4" t="s">
        <v>33</v>
      </c>
      <c r="M130" s="4">
        <v>4.210171138669E12</v>
      </c>
      <c r="N130" s="6">
        <v>36188.0</v>
      </c>
      <c r="O130" s="4" t="s">
        <v>160</v>
      </c>
      <c r="P130" s="4" t="s">
        <v>1102</v>
      </c>
      <c r="Q130" s="4" t="s">
        <v>52</v>
      </c>
      <c r="R130" s="7" t="s">
        <v>993</v>
      </c>
      <c r="S130" s="7" t="s">
        <v>993</v>
      </c>
      <c r="V130" s="4" t="s">
        <v>1097</v>
      </c>
      <c r="W130" s="4">
        <v>4.210114678372E12</v>
      </c>
      <c r="X130" s="4" t="s">
        <v>122</v>
      </c>
      <c r="Y130" s="7" t="s">
        <v>1099</v>
      </c>
    </row>
    <row r="131" ht="22.5" customHeight="1">
      <c r="A131" s="3">
        <v>46194.56285824074</v>
      </c>
      <c r="B131" s="4">
        <v>2.0</v>
      </c>
      <c r="C131" s="5" t="str">
        <f>IFERROR(__xludf.DUMMYFUNCTION("""COMPUTED_VALUE"""),"S27")</f>
        <v>S27</v>
      </c>
      <c r="D131" s="4">
        <v>4.230113572569E12</v>
      </c>
      <c r="E131" s="4" t="s">
        <v>1103</v>
      </c>
      <c r="F131" s="4" t="s">
        <v>29</v>
      </c>
      <c r="G131" s="4" t="s">
        <v>1104</v>
      </c>
      <c r="H131" s="4" t="s">
        <v>89</v>
      </c>
      <c r="I131" s="4" t="s">
        <v>1104</v>
      </c>
      <c r="J131" s="4" t="s">
        <v>33</v>
      </c>
      <c r="M131" s="4">
        <v>4.230113572569E12</v>
      </c>
      <c r="N131" s="6">
        <v>30929.0</v>
      </c>
      <c r="O131" s="4" t="s">
        <v>330</v>
      </c>
      <c r="P131" s="4" t="s">
        <v>1105</v>
      </c>
      <c r="Q131" s="4" t="s">
        <v>133</v>
      </c>
      <c r="R131" s="7" t="s">
        <v>1106</v>
      </c>
      <c r="S131" s="7" t="s">
        <v>1106</v>
      </c>
      <c r="V131" s="4" t="s">
        <v>384</v>
      </c>
      <c r="W131" s="4">
        <v>4.230110363845E12</v>
      </c>
      <c r="X131" s="4" t="s">
        <v>79</v>
      </c>
      <c r="Y131" s="7" t="s">
        <v>1107</v>
      </c>
    </row>
    <row r="132" ht="22.5" customHeight="1">
      <c r="A132" s="3">
        <v>46194.56375414351</v>
      </c>
      <c r="B132" s="4">
        <v>2.0</v>
      </c>
      <c r="C132" s="5" t="str">
        <f>IFERROR(__xludf.DUMMYFUNCTION("""COMPUTED_VALUE"""),"S5")</f>
        <v>S5</v>
      </c>
      <c r="D132" s="4">
        <v>4.230112027977E12</v>
      </c>
      <c r="E132" s="4" t="s">
        <v>1108</v>
      </c>
      <c r="F132" s="4" t="s">
        <v>29</v>
      </c>
      <c r="G132" s="4" t="s">
        <v>326</v>
      </c>
      <c r="H132" s="4" t="s">
        <v>1109</v>
      </c>
      <c r="I132" s="4" t="s">
        <v>1110</v>
      </c>
      <c r="J132" s="4" t="s">
        <v>60</v>
      </c>
      <c r="K132" s="4" t="s">
        <v>1111</v>
      </c>
      <c r="L132" s="6">
        <v>47700.0</v>
      </c>
      <c r="M132" s="4">
        <v>4.240135576366E12</v>
      </c>
      <c r="N132" s="6">
        <v>33109.0</v>
      </c>
      <c r="O132" s="4" t="s">
        <v>177</v>
      </c>
      <c r="P132" s="4" t="s">
        <v>1112</v>
      </c>
      <c r="Q132" s="4" t="s">
        <v>52</v>
      </c>
      <c r="R132" s="7" t="s">
        <v>332</v>
      </c>
      <c r="S132" s="7" t="s">
        <v>1113</v>
      </c>
      <c r="T132" s="4" t="s">
        <v>1108</v>
      </c>
      <c r="U132" s="4" t="s">
        <v>1114</v>
      </c>
      <c r="V132" s="4" t="s">
        <v>1115</v>
      </c>
      <c r="W132" s="4">
        <v>4.210193808761E12</v>
      </c>
      <c r="X132" s="4" t="s">
        <v>310</v>
      </c>
      <c r="Y132" s="7" t="s">
        <v>1116</v>
      </c>
      <c r="Z132" s="4" t="s">
        <v>1117</v>
      </c>
      <c r="AA132" s="4" t="s">
        <v>1118</v>
      </c>
      <c r="AB132" s="8"/>
    </row>
    <row r="133" ht="22.5" customHeight="1">
      <c r="A133" s="3">
        <v>46194.56444958333</v>
      </c>
      <c r="B133" s="4">
        <v>2.0</v>
      </c>
      <c r="C133" s="5" t="str">
        <f>IFERROR(__xludf.DUMMYFUNCTION("""COMPUTED_VALUE"""),"S28")</f>
        <v>S28</v>
      </c>
      <c r="D133" s="4">
        <v>4.220174647573E12</v>
      </c>
      <c r="E133" s="4" t="s">
        <v>1119</v>
      </c>
      <c r="F133" s="4" t="s">
        <v>29</v>
      </c>
      <c r="G133" s="4" t="s">
        <v>1119</v>
      </c>
      <c r="H133" s="4" t="s">
        <v>554</v>
      </c>
      <c r="I133" s="4" t="s">
        <v>1119</v>
      </c>
      <c r="J133" s="4" t="s">
        <v>33</v>
      </c>
      <c r="K133" s="4" t="s">
        <v>1120</v>
      </c>
      <c r="L133" s="6">
        <v>46956.0</v>
      </c>
      <c r="M133" s="4">
        <v>4.220174647573E12</v>
      </c>
      <c r="N133" s="6">
        <v>35717.0</v>
      </c>
      <c r="O133" s="4" t="s">
        <v>148</v>
      </c>
      <c r="P133" s="4" t="s">
        <v>1121</v>
      </c>
      <c r="Q133" s="4" t="s">
        <v>119</v>
      </c>
      <c r="R133" s="7" t="s">
        <v>1122</v>
      </c>
      <c r="S133" s="7" t="s">
        <v>1122</v>
      </c>
      <c r="V133" s="4" t="s">
        <v>1123</v>
      </c>
      <c r="W133" s="4">
        <v>4.220157756509E12</v>
      </c>
      <c r="X133" s="4" t="s">
        <v>40</v>
      </c>
      <c r="Y133" s="7" t="s">
        <v>1124</v>
      </c>
      <c r="Z133" s="4" t="s">
        <v>1125</v>
      </c>
      <c r="AA133" s="4" t="s">
        <v>1126</v>
      </c>
      <c r="AB133" s="8"/>
    </row>
    <row r="134" ht="22.5" customHeight="1">
      <c r="A134" s="3">
        <v>46194.565953275465</v>
      </c>
      <c r="B134" s="4">
        <v>2.0</v>
      </c>
      <c r="C134" s="5" t="str">
        <f>IFERROR(__xludf.DUMMYFUNCTION("""COMPUTED_VALUE"""),"S27")</f>
        <v>S27</v>
      </c>
      <c r="D134" s="4">
        <v>4.230113572569E12</v>
      </c>
      <c r="E134" s="4" t="s">
        <v>89</v>
      </c>
      <c r="F134" s="4" t="s">
        <v>29</v>
      </c>
      <c r="G134" s="4" t="s">
        <v>89</v>
      </c>
      <c r="H134" s="4" t="s">
        <v>1127</v>
      </c>
      <c r="I134" s="4" t="s">
        <v>89</v>
      </c>
      <c r="J134" s="4" t="s">
        <v>60</v>
      </c>
      <c r="M134" s="4">
        <v>4.230111085528E12</v>
      </c>
      <c r="N134" s="6">
        <v>33815.0</v>
      </c>
      <c r="O134" s="4" t="s">
        <v>674</v>
      </c>
      <c r="P134" s="4" t="s">
        <v>1128</v>
      </c>
      <c r="Q134" s="4" t="s">
        <v>119</v>
      </c>
      <c r="R134" s="7" t="s">
        <v>1129</v>
      </c>
      <c r="S134" s="7" t="s">
        <v>1129</v>
      </c>
      <c r="T134" s="4" t="s">
        <v>89</v>
      </c>
      <c r="U134" s="4" t="s">
        <v>65</v>
      </c>
      <c r="V134" s="4" t="s">
        <v>384</v>
      </c>
      <c r="W134" s="4">
        <v>4.230110363845E12</v>
      </c>
      <c r="X134" s="4" t="s">
        <v>1130</v>
      </c>
      <c r="Y134" s="7" t="s">
        <v>1107</v>
      </c>
    </row>
    <row r="135" ht="22.5" customHeight="1">
      <c r="A135" s="3">
        <v>46194.56885380787</v>
      </c>
      <c r="B135" s="4">
        <v>6.0</v>
      </c>
      <c r="C135" s="5" t="str">
        <f>IFERROR(__xludf.DUMMYFUNCTION("""COMPUTED_VALUE"""),"L34")</f>
        <v>L34</v>
      </c>
      <c r="D135" s="4" t="s">
        <v>1131</v>
      </c>
      <c r="E135" s="4" t="s">
        <v>1132</v>
      </c>
      <c r="F135" s="4" t="s">
        <v>45</v>
      </c>
      <c r="G135" s="4" t="s">
        <v>1133</v>
      </c>
      <c r="H135" s="4" t="s">
        <v>1134</v>
      </c>
      <c r="I135" s="4" t="s">
        <v>1132</v>
      </c>
      <c r="J135" s="4" t="s">
        <v>60</v>
      </c>
      <c r="M135" s="4" t="s">
        <v>1135</v>
      </c>
      <c r="N135" s="6">
        <v>37973.0</v>
      </c>
      <c r="O135" s="4" t="s">
        <v>529</v>
      </c>
      <c r="P135" s="4" t="s">
        <v>1136</v>
      </c>
      <c r="Q135" s="4" t="s">
        <v>52</v>
      </c>
      <c r="R135" s="7" t="s">
        <v>1137</v>
      </c>
      <c r="S135" s="7" t="s">
        <v>1137</v>
      </c>
      <c r="T135" s="4" t="s">
        <v>1138</v>
      </c>
      <c r="U135" s="4" t="s">
        <v>193</v>
      </c>
      <c r="V135" s="4" t="s">
        <v>1139</v>
      </c>
      <c r="W135" s="4" t="s">
        <v>1140</v>
      </c>
      <c r="X135" s="4" t="s">
        <v>40</v>
      </c>
      <c r="Y135" s="4" t="s">
        <v>1141</v>
      </c>
      <c r="Z135" s="4" t="s">
        <v>1142</v>
      </c>
      <c r="AA135" s="4" t="s">
        <v>1143</v>
      </c>
      <c r="AB135" s="8"/>
    </row>
    <row r="136" ht="22.5" customHeight="1">
      <c r="A136" s="3">
        <v>46194.57014431713</v>
      </c>
      <c r="B136" s="4">
        <v>2.0</v>
      </c>
      <c r="C136" s="5" t="str">
        <f>IFERROR(__xludf.DUMMYFUNCTION("""COMPUTED_VALUE"""),"S28")</f>
        <v>S28</v>
      </c>
      <c r="D136" s="4">
        <v>4.220174647573E12</v>
      </c>
      <c r="E136" s="4" t="s">
        <v>1119</v>
      </c>
      <c r="F136" s="4" t="s">
        <v>29</v>
      </c>
      <c r="G136" s="4" t="s">
        <v>1119</v>
      </c>
      <c r="H136" s="4" t="s">
        <v>1144</v>
      </c>
      <c r="I136" s="4" t="s">
        <v>1119</v>
      </c>
      <c r="J136" s="4" t="s">
        <v>60</v>
      </c>
      <c r="K136" s="4" t="s">
        <v>1145</v>
      </c>
      <c r="L136" s="6">
        <v>48541.0</v>
      </c>
      <c r="M136" s="4">
        <v>4.220165815694E12</v>
      </c>
      <c r="N136" s="6">
        <v>37495.0</v>
      </c>
      <c r="O136" s="4" t="s">
        <v>148</v>
      </c>
      <c r="P136" s="4" t="s">
        <v>1121</v>
      </c>
      <c r="Q136" s="4" t="s">
        <v>37</v>
      </c>
      <c r="R136" s="7" t="s">
        <v>1146</v>
      </c>
      <c r="S136" s="7" t="s">
        <v>1146</v>
      </c>
      <c r="T136" s="4" t="s">
        <v>1119</v>
      </c>
      <c r="U136" s="4" t="s">
        <v>65</v>
      </c>
      <c r="V136" s="4" t="s">
        <v>516</v>
      </c>
      <c r="W136" s="4">
        <v>4.220157756509E12</v>
      </c>
      <c r="X136" s="4" t="s">
        <v>194</v>
      </c>
      <c r="Y136" s="7" t="s">
        <v>1124</v>
      </c>
      <c r="Z136" s="4" t="s">
        <v>1125</v>
      </c>
      <c r="AA136" s="4" t="s">
        <v>1126</v>
      </c>
      <c r="AB136" s="8"/>
    </row>
    <row r="137" ht="22.5" customHeight="1">
      <c r="A137" s="3">
        <v>46194.581987488426</v>
      </c>
      <c r="B137" s="4">
        <v>2.0</v>
      </c>
      <c r="C137" s="5" t="str">
        <f>IFERROR(__xludf.DUMMYFUNCTION("""COMPUTED_VALUE"""),"L35")</f>
        <v>L35</v>
      </c>
      <c r="D137" s="4" t="s">
        <v>1147</v>
      </c>
      <c r="E137" s="4" t="s">
        <v>1148</v>
      </c>
      <c r="F137" s="4" t="s">
        <v>45</v>
      </c>
      <c r="G137" s="4" t="s">
        <v>1149</v>
      </c>
      <c r="H137" s="4" t="s">
        <v>1150</v>
      </c>
      <c r="I137" s="4" t="s">
        <v>1151</v>
      </c>
      <c r="J137" s="4" t="s">
        <v>33</v>
      </c>
      <c r="K137" s="4" t="s">
        <v>1152</v>
      </c>
      <c r="L137" s="6">
        <v>48923.0</v>
      </c>
      <c r="M137" s="4">
        <v>4.220152915979E12</v>
      </c>
      <c r="N137" s="6">
        <v>26703.0</v>
      </c>
      <c r="O137" s="4" t="s">
        <v>1153</v>
      </c>
      <c r="P137" s="4" t="s">
        <v>1154</v>
      </c>
      <c r="Q137" s="4" t="s">
        <v>133</v>
      </c>
      <c r="R137" s="7" t="s">
        <v>1155</v>
      </c>
      <c r="S137" s="7" t="s">
        <v>1155</v>
      </c>
      <c r="T137" s="4" t="s">
        <v>1156</v>
      </c>
      <c r="U137" s="4" t="s">
        <v>1157</v>
      </c>
      <c r="V137" s="4" t="s">
        <v>1158</v>
      </c>
      <c r="W137" s="4">
        <v>4.210131382477E12</v>
      </c>
      <c r="X137" s="4" t="s">
        <v>163</v>
      </c>
      <c r="Y137" s="7" t="s">
        <v>1159</v>
      </c>
      <c r="Z137" s="4" t="s">
        <v>1160</v>
      </c>
      <c r="AA137" s="4" t="s">
        <v>1161</v>
      </c>
      <c r="AB137" s="8"/>
    </row>
    <row r="138" ht="22.5" customHeight="1">
      <c r="A138" s="3">
        <v>46194.588467696754</v>
      </c>
      <c r="B138" s="4">
        <v>2.0</v>
      </c>
      <c r="C138" s="5" t="str">
        <f>IFERROR(__xludf.DUMMYFUNCTION("""COMPUTED_VALUE"""),"L35")</f>
        <v>L35</v>
      </c>
      <c r="D138" s="4">
        <v>4.220152915979E12</v>
      </c>
      <c r="E138" s="4" t="s">
        <v>1161</v>
      </c>
      <c r="F138" s="4" t="s">
        <v>45</v>
      </c>
      <c r="G138" s="4" t="s">
        <v>1162</v>
      </c>
      <c r="H138" s="4" t="s">
        <v>1163</v>
      </c>
      <c r="I138" s="4" t="s">
        <v>1164</v>
      </c>
      <c r="J138" s="4" t="s">
        <v>60</v>
      </c>
      <c r="K138" s="4" t="s">
        <v>1165</v>
      </c>
      <c r="L138" s="6">
        <v>46567.0</v>
      </c>
      <c r="M138" s="4">
        <v>4.220185189244E12</v>
      </c>
      <c r="N138" s="6">
        <v>27479.0</v>
      </c>
      <c r="O138" s="4" t="s">
        <v>1153</v>
      </c>
      <c r="P138" s="4" t="s">
        <v>1166</v>
      </c>
      <c r="Q138" s="4" t="s">
        <v>52</v>
      </c>
      <c r="R138" s="7" t="s">
        <v>1167</v>
      </c>
      <c r="S138" s="7" t="s">
        <v>1167</v>
      </c>
      <c r="T138" s="4" t="s">
        <v>1161</v>
      </c>
      <c r="U138" s="4" t="s">
        <v>65</v>
      </c>
      <c r="V138" s="4" t="s">
        <v>1168</v>
      </c>
      <c r="W138" s="4">
        <v>4.210131382477E12</v>
      </c>
      <c r="X138" s="4" t="s">
        <v>1169</v>
      </c>
      <c r="Y138" s="7" t="s">
        <v>1159</v>
      </c>
      <c r="Z138" s="4" t="s">
        <v>1170</v>
      </c>
      <c r="AA138" s="4" t="s">
        <v>1171</v>
      </c>
      <c r="AB138" s="8"/>
    </row>
    <row r="139" ht="22.5" customHeight="1">
      <c r="A139" s="3">
        <v>46194.5959483912</v>
      </c>
      <c r="B139" s="4">
        <v>6.0</v>
      </c>
      <c r="C139" s="5" t="str">
        <f>IFERROR(__xludf.DUMMYFUNCTION("""COMPUTED_VALUE"""),"L34")</f>
        <v>L34</v>
      </c>
      <c r="D139" s="4" t="s">
        <v>1082</v>
      </c>
      <c r="E139" s="4" t="s">
        <v>1093</v>
      </c>
      <c r="F139" s="4" t="s">
        <v>45</v>
      </c>
      <c r="G139" s="4" t="s">
        <v>1172</v>
      </c>
      <c r="H139" s="4" t="s">
        <v>1173</v>
      </c>
      <c r="I139" s="4" t="s">
        <v>1174</v>
      </c>
      <c r="J139" s="4" t="s">
        <v>60</v>
      </c>
      <c r="K139" s="4" t="s">
        <v>1175</v>
      </c>
      <c r="L139" s="6">
        <v>48612.0</v>
      </c>
      <c r="M139" s="4" t="s">
        <v>1176</v>
      </c>
      <c r="N139" s="6">
        <v>26503.0</v>
      </c>
      <c r="O139" s="4" t="s">
        <v>160</v>
      </c>
      <c r="P139" s="4" t="s">
        <v>1177</v>
      </c>
      <c r="Q139" s="4" t="s">
        <v>37</v>
      </c>
      <c r="R139" s="7" t="s">
        <v>1178</v>
      </c>
      <c r="S139" s="7" t="s">
        <v>1179</v>
      </c>
      <c r="T139" s="4" t="s">
        <v>1093</v>
      </c>
      <c r="U139" s="4" t="s">
        <v>1180</v>
      </c>
      <c r="V139" s="4" t="s">
        <v>1181</v>
      </c>
      <c r="W139" s="4" t="s">
        <v>1182</v>
      </c>
      <c r="X139" s="4" t="s">
        <v>87</v>
      </c>
      <c r="Y139" s="7" t="s">
        <v>1183</v>
      </c>
      <c r="Z139" s="4" t="s">
        <v>1184</v>
      </c>
      <c r="AA139" s="4" t="s">
        <v>1185</v>
      </c>
      <c r="AB139" s="8"/>
    </row>
    <row r="140" ht="22.5" customHeight="1">
      <c r="A140" s="3">
        <v>46194.60424672454</v>
      </c>
      <c r="B140" s="4">
        <v>3.0</v>
      </c>
      <c r="C140" s="5" t="str">
        <f>IFERROR(__xludf.DUMMYFUNCTION("""COMPUTED_VALUE"""),"L36")</f>
        <v>L36</v>
      </c>
      <c r="D140" s="4">
        <v>4.210117752427E12</v>
      </c>
      <c r="E140" s="4" t="s">
        <v>1186</v>
      </c>
      <c r="F140" s="4" t="s">
        <v>45</v>
      </c>
      <c r="G140" s="4" t="s">
        <v>1187</v>
      </c>
      <c r="H140" s="4" t="s">
        <v>1188</v>
      </c>
      <c r="I140" s="4" t="s">
        <v>1189</v>
      </c>
      <c r="J140" s="4" t="s">
        <v>33</v>
      </c>
      <c r="K140" s="4" t="s">
        <v>1190</v>
      </c>
      <c r="L140" s="6">
        <v>47042.0</v>
      </c>
      <c r="M140" s="4">
        <v>4.210117752427E12</v>
      </c>
      <c r="N140" s="6">
        <v>30416.0</v>
      </c>
      <c r="O140" s="4" t="s">
        <v>758</v>
      </c>
      <c r="P140" s="4" t="s">
        <v>1191</v>
      </c>
      <c r="Q140" s="4" t="s">
        <v>37</v>
      </c>
      <c r="R140" s="7" t="s">
        <v>1192</v>
      </c>
      <c r="S140" s="7" t="s">
        <v>1192</v>
      </c>
      <c r="V140" s="4" t="s">
        <v>1193</v>
      </c>
      <c r="W140" s="4">
        <v>4.210148556871E12</v>
      </c>
      <c r="X140" s="4" t="s">
        <v>310</v>
      </c>
      <c r="Y140" s="7" t="s">
        <v>1194</v>
      </c>
      <c r="Z140" s="7" t="s">
        <v>1195</v>
      </c>
      <c r="AA140" s="4" t="s">
        <v>1186</v>
      </c>
      <c r="AB140" s="8"/>
    </row>
    <row r="141" ht="22.5" customHeight="1">
      <c r="A141" s="3">
        <v>46194.6146203588</v>
      </c>
      <c r="B141" s="4">
        <v>2.0</v>
      </c>
      <c r="C141" s="5" t="str">
        <f>IFERROR(__xludf.DUMMYFUNCTION("""COMPUTED_VALUE"""),"S18")</f>
        <v>S18</v>
      </c>
      <c r="D141" s="4">
        <v>4.210143996151E12</v>
      </c>
      <c r="E141" s="4" t="s">
        <v>766</v>
      </c>
      <c r="F141" s="4" t="s">
        <v>29</v>
      </c>
      <c r="G141" s="4" t="s">
        <v>1196</v>
      </c>
      <c r="H141" s="4" t="s">
        <v>762</v>
      </c>
      <c r="I141" s="4" t="s">
        <v>1197</v>
      </c>
      <c r="J141" s="4" t="s">
        <v>60</v>
      </c>
      <c r="K141" s="4" t="s">
        <v>1198</v>
      </c>
      <c r="L141" s="6">
        <v>46716.0</v>
      </c>
      <c r="M141" s="4" t="s">
        <v>763</v>
      </c>
      <c r="N141" s="6">
        <v>36478.0</v>
      </c>
      <c r="O141" s="4" t="s">
        <v>758</v>
      </c>
      <c r="P141" s="4" t="s">
        <v>759</v>
      </c>
      <c r="Q141" s="4" t="s">
        <v>37</v>
      </c>
      <c r="R141" s="4" t="s">
        <v>1199</v>
      </c>
      <c r="S141" s="4" t="s">
        <v>1199</v>
      </c>
      <c r="T141" s="4" t="s">
        <v>1200</v>
      </c>
      <c r="U141" s="4" t="s">
        <v>65</v>
      </c>
      <c r="V141" s="4" t="s">
        <v>755</v>
      </c>
      <c r="W141" s="4">
        <v>4.210143996151E12</v>
      </c>
      <c r="X141" s="4" t="s">
        <v>65</v>
      </c>
      <c r="Y141" s="7" t="s">
        <v>760</v>
      </c>
      <c r="Z141" s="4" t="s">
        <v>765</v>
      </c>
      <c r="AA141" s="4" t="s">
        <v>755</v>
      </c>
      <c r="AB141" s="8"/>
    </row>
    <row r="142" ht="22.5" customHeight="1">
      <c r="A142" s="3">
        <v>46194.62005891204</v>
      </c>
      <c r="B142" s="4">
        <v>5.0</v>
      </c>
      <c r="C142" s="5" t="str">
        <f>IFERROR(__xludf.DUMMYFUNCTION("""COMPUTED_VALUE"""),"L24")</f>
        <v>L24</v>
      </c>
      <c r="D142" s="4">
        <v>4.230109688155E12</v>
      </c>
      <c r="E142" s="4" t="s">
        <v>863</v>
      </c>
      <c r="F142" s="4" t="s">
        <v>45</v>
      </c>
      <c r="G142" s="4" t="s">
        <v>571</v>
      </c>
      <c r="H142" s="4" t="s">
        <v>1201</v>
      </c>
      <c r="I142" s="4" t="s">
        <v>863</v>
      </c>
      <c r="J142" s="4" t="s">
        <v>33</v>
      </c>
      <c r="M142" s="4">
        <v>4.210126428649E12</v>
      </c>
      <c r="N142" s="6">
        <v>39783.0</v>
      </c>
      <c r="O142" s="4" t="s">
        <v>1202</v>
      </c>
      <c r="P142" s="4" t="s">
        <v>1203</v>
      </c>
      <c r="Q142" s="4" t="s">
        <v>37</v>
      </c>
      <c r="R142" s="7" t="s">
        <v>868</v>
      </c>
      <c r="S142" s="7" t="s">
        <v>868</v>
      </c>
      <c r="V142" s="4" t="s">
        <v>869</v>
      </c>
      <c r="W142" s="4">
        <v>4.220113941527E12</v>
      </c>
      <c r="X142" s="4" t="s">
        <v>668</v>
      </c>
      <c r="Y142" s="7" t="s">
        <v>870</v>
      </c>
      <c r="Z142" s="4" t="s">
        <v>1204</v>
      </c>
      <c r="AA142" s="4" t="s">
        <v>863</v>
      </c>
      <c r="AB142" s="8"/>
    </row>
    <row r="143" ht="22.5" customHeight="1">
      <c r="A143" s="3">
        <v>46194.62403042824</v>
      </c>
      <c r="B143" s="4" t="s">
        <v>143</v>
      </c>
      <c r="C143" s="5" t="str">
        <f>IFERROR(__xludf.DUMMYFUNCTION("""COMPUTED_VALUE"""),"L5")</f>
        <v>L5</v>
      </c>
      <c r="D143" s="4">
        <v>4.240147731139E12</v>
      </c>
      <c r="E143" s="4" t="s">
        <v>251</v>
      </c>
      <c r="F143" s="4" t="s">
        <v>45</v>
      </c>
      <c r="G143" s="4" t="s">
        <v>725</v>
      </c>
      <c r="H143" s="4" t="s">
        <v>1205</v>
      </c>
      <c r="I143" s="4" t="s">
        <v>1206</v>
      </c>
      <c r="J143" s="4" t="s">
        <v>60</v>
      </c>
      <c r="K143" s="4" t="s">
        <v>130</v>
      </c>
      <c r="L143" s="6">
        <v>47072.0</v>
      </c>
      <c r="M143" s="4">
        <v>4.240117646174E12</v>
      </c>
      <c r="N143" s="6">
        <v>26108.0</v>
      </c>
      <c r="O143" s="4" t="s">
        <v>1207</v>
      </c>
      <c r="P143" s="4" t="s">
        <v>1208</v>
      </c>
      <c r="Q143" s="4" t="s">
        <v>133</v>
      </c>
      <c r="R143" s="7" t="s">
        <v>1209</v>
      </c>
      <c r="S143" s="7" t="s">
        <v>1209</v>
      </c>
      <c r="T143" s="4" t="s">
        <v>1210</v>
      </c>
      <c r="U143" s="4" t="s">
        <v>87</v>
      </c>
      <c r="V143" s="4" t="s">
        <v>1211</v>
      </c>
      <c r="W143" s="4">
        <v>4.240170147667E12</v>
      </c>
      <c r="X143" s="4" t="s">
        <v>1212</v>
      </c>
      <c r="Y143" s="7" t="s">
        <v>1213</v>
      </c>
      <c r="Z143" s="4" t="s">
        <v>141</v>
      </c>
      <c r="AA143" s="4" t="s">
        <v>1214</v>
      </c>
      <c r="AB143" s="8"/>
    </row>
    <row r="144" ht="22.5" customHeight="1">
      <c r="A144" s="3">
        <v>46194.626479583334</v>
      </c>
      <c r="B144" s="4">
        <v>3.0</v>
      </c>
      <c r="C144" s="5" t="str">
        <f>IFERROR(__xludf.DUMMYFUNCTION("""COMPUTED_VALUE"""),"L36")</f>
        <v>L36</v>
      </c>
      <c r="D144" s="4">
        <v>4.210117752427E12</v>
      </c>
      <c r="E144" s="4" t="s">
        <v>1186</v>
      </c>
      <c r="F144" s="4" t="s">
        <v>45</v>
      </c>
      <c r="G144" s="4" t="s">
        <v>1215</v>
      </c>
      <c r="H144" s="4" t="s">
        <v>1188</v>
      </c>
      <c r="I144" s="4" t="s">
        <v>1216</v>
      </c>
      <c r="J144" s="4" t="s">
        <v>33</v>
      </c>
      <c r="K144" s="4" t="s">
        <v>1190</v>
      </c>
      <c r="L144" s="6">
        <v>47042.0</v>
      </c>
      <c r="M144" s="4">
        <v>4.210117752427E12</v>
      </c>
      <c r="N144" s="6">
        <v>30416.0</v>
      </c>
      <c r="O144" s="4" t="s">
        <v>758</v>
      </c>
      <c r="P144" s="4" t="s">
        <v>1217</v>
      </c>
      <c r="Q144" s="4" t="s">
        <v>37</v>
      </c>
      <c r="R144" s="7" t="s">
        <v>1192</v>
      </c>
      <c r="S144" s="7" t="s">
        <v>1192</v>
      </c>
      <c r="V144" s="4" t="s">
        <v>1218</v>
      </c>
      <c r="W144" s="4">
        <v>4.210148556871E12</v>
      </c>
      <c r="X144" s="4" t="s">
        <v>310</v>
      </c>
      <c r="Y144" s="7" t="s">
        <v>1194</v>
      </c>
      <c r="Z144" s="7" t="s">
        <v>1195</v>
      </c>
      <c r="AA144" s="4" t="s">
        <v>1186</v>
      </c>
      <c r="AB144" s="8"/>
    </row>
    <row r="145" ht="22.5" customHeight="1">
      <c r="A145" s="3">
        <v>46194.626784583335</v>
      </c>
      <c r="B145" s="4">
        <v>5.0</v>
      </c>
      <c r="C145" s="5" t="str">
        <f>IFERROR(__xludf.DUMMYFUNCTION("""COMPUTED_VALUE"""),"L24")</f>
        <v>L24</v>
      </c>
      <c r="D145" s="4">
        <v>4.230109688155E12</v>
      </c>
      <c r="E145" s="4" t="s">
        <v>863</v>
      </c>
      <c r="F145" s="4" t="s">
        <v>45</v>
      </c>
      <c r="G145" s="4" t="s">
        <v>864</v>
      </c>
      <c r="H145" s="4" t="s">
        <v>1219</v>
      </c>
      <c r="I145" s="4" t="s">
        <v>863</v>
      </c>
      <c r="J145" s="4" t="s">
        <v>60</v>
      </c>
      <c r="M145" s="4">
        <v>4.210104083144E12</v>
      </c>
      <c r="N145" s="6">
        <v>40737.0</v>
      </c>
      <c r="O145" s="4" t="s">
        <v>758</v>
      </c>
      <c r="P145" s="4" t="s">
        <v>1220</v>
      </c>
      <c r="Q145" s="4" t="s">
        <v>37</v>
      </c>
      <c r="R145" s="7" t="s">
        <v>868</v>
      </c>
      <c r="S145" s="7" t="s">
        <v>868</v>
      </c>
      <c r="T145" s="4" t="s">
        <v>863</v>
      </c>
      <c r="U145" s="4" t="s">
        <v>630</v>
      </c>
      <c r="V145" s="4" t="s">
        <v>869</v>
      </c>
      <c r="W145" s="4">
        <v>4.220113941527E12</v>
      </c>
      <c r="X145" s="4" t="s">
        <v>668</v>
      </c>
      <c r="Y145" s="7" t="s">
        <v>870</v>
      </c>
      <c r="Z145" s="4" t="s">
        <v>871</v>
      </c>
      <c r="AA145" s="4" t="s">
        <v>863</v>
      </c>
      <c r="AB145" s="8"/>
    </row>
    <row r="146" ht="22.5" customHeight="1">
      <c r="A146" s="3">
        <v>46194.628518576385</v>
      </c>
      <c r="B146" s="4">
        <v>4.0</v>
      </c>
      <c r="C146" s="5" t="str">
        <f>IFERROR(__xludf.DUMMYFUNCTION("""COMPUTED_VALUE"""),"S29")</f>
        <v>S29</v>
      </c>
      <c r="D146" s="4">
        <v>4.220166676827E12</v>
      </c>
      <c r="E146" s="4" t="s">
        <v>1221</v>
      </c>
      <c r="F146" s="4" t="s">
        <v>29</v>
      </c>
      <c r="G146" s="4" t="s">
        <v>251</v>
      </c>
      <c r="H146" s="4" t="s">
        <v>1222</v>
      </c>
      <c r="I146" s="4" t="s">
        <v>1223</v>
      </c>
      <c r="J146" s="4" t="s">
        <v>33</v>
      </c>
      <c r="K146" s="4" t="s">
        <v>1224</v>
      </c>
      <c r="L146" s="6">
        <v>47434.0</v>
      </c>
      <c r="M146" s="4">
        <v>4.220166676827E12</v>
      </c>
      <c r="N146" s="6">
        <v>31656.0</v>
      </c>
      <c r="O146" s="4" t="s">
        <v>35</v>
      </c>
      <c r="P146" s="4" t="s">
        <v>1225</v>
      </c>
      <c r="Q146" s="4" t="s">
        <v>37</v>
      </c>
      <c r="R146" s="7" t="s">
        <v>1226</v>
      </c>
      <c r="S146" s="7" t="s">
        <v>1226</v>
      </c>
      <c r="V146" s="4" t="s">
        <v>1227</v>
      </c>
      <c r="W146" s="4">
        <v>4.220106174996E12</v>
      </c>
      <c r="X146" s="4" t="s">
        <v>825</v>
      </c>
      <c r="Y146" s="7" t="s">
        <v>1228</v>
      </c>
      <c r="Z146" s="4" t="s">
        <v>1229</v>
      </c>
      <c r="AA146" s="4" t="s">
        <v>1230</v>
      </c>
      <c r="AB146" s="8"/>
    </row>
    <row r="147" ht="22.5" customHeight="1">
      <c r="A147" s="3">
        <v>46194.63096037037</v>
      </c>
      <c r="B147" s="4">
        <v>5.0</v>
      </c>
      <c r="C147" s="5" t="str">
        <f>IFERROR(__xludf.DUMMYFUNCTION("""COMPUTED_VALUE"""),"L24")</f>
        <v>L24</v>
      </c>
      <c r="D147" s="4">
        <v>4.230109688155E12</v>
      </c>
      <c r="E147" s="4" t="s">
        <v>863</v>
      </c>
      <c r="F147" s="4" t="s">
        <v>45</v>
      </c>
      <c r="G147" s="4" t="s">
        <v>1231</v>
      </c>
      <c r="H147" s="4" t="s">
        <v>1232</v>
      </c>
      <c r="I147" s="4" t="s">
        <v>863</v>
      </c>
      <c r="J147" s="4" t="s">
        <v>60</v>
      </c>
      <c r="M147" s="4">
        <v>4.210105032194E12</v>
      </c>
      <c r="N147" s="6">
        <v>40737.0</v>
      </c>
      <c r="O147" s="4" t="s">
        <v>758</v>
      </c>
      <c r="P147" s="4" t="s">
        <v>1233</v>
      </c>
      <c r="Q147" s="4" t="s">
        <v>37</v>
      </c>
      <c r="R147" s="7" t="s">
        <v>868</v>
      </c>
      <c r="S147" s="7" t="s">
        <v>868</v>
      </c>
      <c r="T147" s="4" t="s">
        <v>863</v>
      </c>
      <c r="U147" s="4" t="s">
        <v>630</v>
      </c>
      <c r="V147" s="4" t="s">
        <v>869</v>
      </c>
      <c r="W147" s="4">
        <v>4.220113941527E12</v>
      </c>
      <c r="X147" s="4" t="s">
        <v>668</v>
      </c>
      <c r="Y147" s="7" t="s">
        <v>870</v>
      </c>
      <c r="Z147" s="4" t="s">
        <v>1234</v>
      </c>
      <c r="AA147" s="4" t="s">
        <v>863</v>
      </c>
      <c r="AB147" s="8"/>
    </row>
    <row r="148" ht="22.5" customHeight="1">
      <c r="A148" s="3">
        <v>46194.63408766204</v>
      </c>
      <c r="B148" s="4">
        <v>2.0</v>
      </c>
      <c r="C148" s="5" t="str">
        <f>IFERROR(__xludf.DUMMYFUNCTION("""COMPUTED_VALUE"""),"L36")</f>
        <v>L36</v>
      </c>
      <c r="D148" s="4">
        <v>4.210117752427E12</v>
      </c>
      <c r="E148" s="4" t="s">
        <v>1186</v>
      </c>
      <c r="F148" s="4" t="s">
        <v>45</v>
      </c>
      <c r="G148" s="4" t="s">
        <v>516</v>
      </c>
      <c r="H148" s="4" t="s">
        <v>1235</v>
      </c>
      <c r="I148" s="4" t="s">
        <v>1186</v>
      </c>
      <c r="J148" s="4" t="s">
        <v>60</v>
      </c>
      <c r="K148" s="4" t="s">
        <v>1236</v>
      </c>
      <c r="L148" s="6">
        <v>47042.0</v>
      </c>
      <c r="M148" s="4">
        <v>4.230120810832E12</v>
      </c>
      <c r="N148" s="6">
        <v>31277.0</v>
      </c>
      <c r="O148" s="4" t="s">
        <v>35</v>
      </c>
      <c r="P148" s="4" t="s">
        <v>1217</v>
      </c>
      <c r="Q148" s="4" t="s">
        <v>37</v>
      </c>
      <c r="R148" s="7" t="s">
        <v>1237</v>
      </c>
      <c r="S148" s="7" t="s">
        <v>1237</v>
      </c>
      <c r="T148" s="4" t="s">
        <v>1186</v>
      </c>
      <c r="U148" s="4" t="s">
        <v>193</v>
      </c>
      <c r="V148" s="4" t="s">
        <v>1218</v>
      </c>
      <c r="W148" s="4">
        <v>4.210148556871E12</v>
      </c>
      <c r="X148" s="4" t="s">
        <v>1238</v>
      </c>
      <c r="Y148" s="7" t="s">
        <v>1194</v>
      </c>
      <c r="Z148" s="7" t="s">
        <v>1195</v>
      </c>
      <c r="AA148" s="4" t="s">
        <v>1186</v>
      </c>
      <c r="AB148" s="8"/>
    </row>
    <row r="149" ht="22.5" customHeight="1">
      <c r="A149" s="3">
        <v>46194.63974456019</v>
      </c>
      <c r="B149" s="4">
        <v>1.0</v>
      </c>
      <c r="C149" s="5" t="str">
        <f>IFERROR(__xludf.DUMMYFUNCTION("""COMPUTED_VALUE"""),"L36")</f>
        <v>L36</v>
      </c>
      <c r="D149" s="4">
        <v>4.210117752427E12</v>
      </c>
      <c r="E149" s="4" t="s">
        <v>1186</v>
      </c>
      <c r="F149" s="4" t="s">
        <v>45</v>
      </c>
      <c r="G149" s="4" t="s">
        <v>1239</v>
      </c>
      <c r="H149" s="4" t="s">
        <v>1240</v>
      </c>
      <c r="I149" s="4" t="s">
        <v>1241</v>
      </c>
      <c r="J149" s="4" t="s">
        <v>60</v>
      </c>
      <c r="K149" s="4" t="s">
        <v>1242</v>
      </c>
      <c r="L149" s="6">
        <v>47042.0</v>
      </c>
      <c r="M149" s="4">
        <v>4.210114110434E12</v>
      </c>
      <c r="N149" s="6">
        <v>19725.0</v>
      </c>
      <c r="O149" s="4" t="s">
        <v>111</v>
      </c>
      <c r="P149" s="4" t="s">
        <v>1217</v>
      </c>
      <c r="Q149" s="4" t="s">
        <v>37</v>
      </c>
      <c r="R149" s="7" t="s">
        <v>1192</v>
      </c>
      <c r="S149" s="7" t="s">
        <v>1192</v>
      </c>
      <c r="T149" s="4" t="s">
        <v>1186</v>
      </c>
      <c r="U149" s="4" t="s">
        <v>925</v>
      </c>
      <c r="V149" s="4" t="s">
        <v>1218</v>
      </c>
      <c r="W149" s="4">
        <v>4.21014855687E11</v>
      </c>
      <c r="X149" s="4" t="s">
        <v>87</v>
      </c>
      <c r="Y149" s="7" t="s">
        <v>1194</v>
      </c>
      <c r="Z149" s="7" t="s">
        <v>1195</v>
      </c>
      <c r="AA149" s="4" t="s">
        <v>1186</v>
      </c>
      <c r="AB149" s="8"/>
    </row>
    <row r="150" ht="22.5" customHeight="1">
      <c r="A150" s="3">
        <v>46194.64088387731</v>
      </c>
      <c r="B150" s="4">
        <v>2.0</v>
      </c>
      <c r="C150" s="5" t="str">
        <f>IFERROR(__xludf.DUMMYFUNCTION("""COMPUTED_VALUE"""),"L37")</f>
        <v>L37</v>
      </c>
      <c r="D150" s="4" t="s">
        <v>1243</v>
      </c>
      <c r="E150" s="4" t="s">
        <v>1244</v>
      </c>
      <c r="F150" s="4" t="s">
        <v>45</v>
      </c>
      <c r="G150" s="4" t="s">
        <v>837</v>
      </c>
      <c r="H150" s="4" t="s">
        <v>256</v>
      </c>
      <c r="I150" s="4" t="s">
        <v>837</v>
      </c>
      <c r="J150" s="4" t="s">
        <v>33</v>
      </c>
      <c r="K150" s="4" t="s">
        <v>1245</v>
      </c>
      <c r="L150" s="6">
        <v>49359.0</v>
      </c>
      <c r="M150" s="4" t="s">
        <v>1246</v>
      </c>
      <c r="N150" s="6">
        <v>33453.0</v>
      </c>
      <c r="O150" s="4" t="s">
        <v>512</v>
      </c>
      <c r="P150" s="4" t="s">
        <v>1247</v>
      </c>
      <c r="Q150" s="4" t="s">
        <v>119</v>
      </c>
      <c r="R150" s="7" t="s">
        <v>1248</v>
      </c>
      <c r="S150" s="7" t="s">
        <v>1248</v>
      </c>
      <c r="T150" s="4" t="s">
        <v>1249</v>
      </c>
      <c r="U150" s="4" t="s">
        <v>67</v>
      </c>
      <c r="V150" s="4" t="s">
        <v>1250</v>
      </c>
      <c r="W150" s="4" t="s">
        <v>1251</v>
      </c>
      <c r="X150" s="4" t="s">
        <v>310</v>
      </c>
      <c r="Y150" s="7" t="s">
        <v>1252</v>
      </c>
      <c r="Z150" s="4" t="s">
        <v>1253</v>
      </c>
      <c r="AA150" s="4" t="s">
        <v>1254</v>
      </c>
      <c r="AB150" s="8"/>
    </row>
    <row r="151" ht="22.5" customHeight="1">
      <c r="A151" s="3">
        <v>46194.64852164352</v>
      </c>
      <c r="B151" s="4">
        <v>1.0</v>
      </c>
      <c r="C151" s="5" t="str">
        <f>IFERROR(__xludf.DUMMYFUNCTION("""COMPUTED_VALUE"""),"S30")</f>
        <v>S30</v>
      </c>
      <c r="D151" s="4">
        <v>4.230117394559E12</v>
      </c>
      <c r="E151" s="4" t="s">
        <v>1255</v>
      </c>
      <c r="F151" s="4" t="s">
        <v>29</v>
      </c>
      <c r="G151" s="4" t="s">
        <v>126</v>
      </c>
      <c r="H151" s="4" t="s">
        <v>1255</v>
      </c>
      <c r="I151" s="4" t="s">
        <v>1256</v>
      </c>
      <c r="J151" s="4" t="s">
        <v>33</v>
      </c>
      <c r="K151" s="4" t="s">
        <v>1257</v>
      </c>
      <c r="L151" s="6">
        <v>48300.0</v>
      </c>
      <c r="M151" s="4">
        <v>4.230117394559E12</v>
      </c>
      <c r="N151" s="6">
        <v>33162.0</v>
      </c>
      <c r="O151" s="4" t="s">
        <v>1258</v>
      </c>
      <c r="P151" s="4" t="s">
        <v>1259</v>
      </c>
      <c r="Q151" s="4" t="s">
        <v>37</v>
      </c>
      <c r="R151" s="7" t="s">
        <v>1260</v>
      </c>
      <c r="S151" s="7" t="s">
        <v>1260</v>
      </c>
      <c r="V151" s="4" t="s">
        <v>1261</v>
      </c>
      <c r="W151" s="4">
        <v>4.230147798122E12</v>
      </c>
      <c r="X151" s="4" t="s">
        <v>67</v>
      </c>
      <c r="Y151" s="7" t="s">
        <v>1262</v>
      </c>
      <c r="Z151" s="4" t="s">
        <v>1263</v>
      </c>
      <c r="AA151" s="4" t="s">
        <v>1255</v>
      </c>
      <c r="AB151" s="8"/>
    </row>
    <row r="152" ht="22.5" customHeight="1">
      <c r="A152" s="3">
        <v>46194.65965793982</v>
      </c>
      <c r="B152" s="4">
        <v>2.0</v>
      </c>
      <c r="C152" s="5" t="str">
        <f>IFERROR(__xludf.DUMMYFUNCTION("""COMPUTED_VALUE"""),"L38")</f>
        <v>L38</v>
      </c>
      <c r="D152" s="4">
        <v>4.220186830349E12</v>
      </c>
      <c r="E152" s="4" t="s">
        <v>1264</v>
      </c>
      <c r="F152" s="4" t="s">
        <v>45</v>
      </c>
      <c r="G152" s="4" t="s">
        <v>1265</v>
      </c>
      <c r="H152" s="4" t="s">
        <v>554</v>
      </c>
      <c r="I152" s="4" t="s">
        <v>1266</v>
      </c>
      <c r="J152" s="4" t="s">
        <v>33</v>
      </c>
      <c r="K152" s="4" t="s">
        <v>1267</v>
      </c>
      <c r="L152" s="6">
        <v>48799.0</v>
      </c>
      <c r="M152" s="4">
        <v>4.220186830349E12</v>
      </c>
      <c r="N152" s="6">
        <v>30703.0</v>
      </c>
      <c r="O152" s="4" t="s">
        <v>148</v>
      </c>
      <c r="P152" s="4" t="s">
        <v>1268</v>
      </c>
      <c r="Q152" s="4" t="s">
        <v>37</v>
      </c>
      <c r="R152" s="7" t="s">
        <v>1269</v>
      </c>
      <c r="S152" s="7" t="s">
        <v>1269</v>
      </c>
      <c r="V152" s="4" t="s">
        <v>1270</v>
      </c>
      <c r="W152" s="4">
        <v>4.230102692393E12</v>
      </c>
      <c r="X152" s="4" t="s">
        <v>1271</v>
      </c>
      <c r="Y152" s="7" t="s">
        <v>1272</v>
      </c>
      <c r="Z152" s="4" t="s">
        <v>1273</v>
      </c>
      <c r="AA152" s="4" t="s">
        <v>1274</v>
      </c>
      <c r="AB152" s="8"/>
    </row>
    <row r="153" ht="22.5" customHeight="1">
      <c r="A153" s="3">
        <v>46194.66315547454</v>
      </c>
      <c r="B153" s="4">
        <v>2.0</v>
      </c>
      <c r="C153" s="5" t="str">
        <f>IFERROR(__xludf.DUMMYFUNCTION("""COMPUTED_VALUE"""),"S31")</f>
        <v>S31</v>
      </c>
      <c r="D153" s="4">
        <v>4.230157526183E12</v>
      </c>
      <c r="E153" s="4" t="s">
        <v>547</v>
      </c>
      <c r="F153" s="4" t="s">
        <v>29</v>
      </c>
      <c r="G153" s="4" t="s">
        <v>1275</v>
      </c>
      <c r="H153" s="4" t="s">
        <v>1276</v>
      </c>
      <c r="I153" s="4" t="s">
        <v>1277</v>
      </c>
      <c r="J153" s="4" t="s">
        <v>33</v>
      </c>
      <c r="K153" s="4">
        <v>1.0342260018E10</v>
      </c>
      <c r="L153" s="6">
        <v>46971.0</v>
      </c>
      <c r="M153" s="4">
        <v>4.230157526183E12</v>
      </c>
      <c r="N153" s="6">
        <v>23970.0</v>
      </c>
      <c r="O153" s="4" t="s">
        <v>177</v>
      </c>
      <c r="P153" s="4" t="s">
        <v>1278</v>
      </c>
      <c r="Q153" s="4" t="s">
        <v>119</v>
      </c>
      <c r="R153" s="7" t="s">
        <v>1279</v>
      </c>
      <c r="S153" s="7" t="s">
        <v>1280</v>
      </c>
      <c r="V153" s="4" t="s">
        <v>1277</v>
      </c>
      <c r="W153" s="4">
        <v>4.230158425757E12</v>
      </c>
      <c r="X153" s="4" t="s">
        <v>87</v>
      </c>
      <c r="Y153" s="7" t="s">
        <v>1281</v>
      </c>
      <c r="Z153" s="4" t="s">
        <v>1282</v>
      </c>
      <c r="AA153" s="4" t="s">
        <v>547</v>
      </c>
      <c r="AB153" s="8"/>
    </row>
    <row r="154" ht="22.5" customHeight="1">
      <c r="A154" s="3">
        <v>46194.66332104166</v>
      </c>
      <c r="B154" s="4">
        <v>2.0</v>
      </c>
      <c r="C154" s="5" t="str">
        <f>IFERROR(__xludf.DUMMYFUNCTION("""COMPUTED_VALUE"""),"S31")</f>
        <v>S31</v>
      </c>
      <c r="D154" s="4">
        <v>4.230157526183E12</v>
      </c>
      <c r="E154" s="4" t="s">
        <v>1283</v>
      </c>
      <c r="F154" s="4" t="s">
        <v>29</v>
      </c>
      <c r="G154" s="4" t="s">
        <v>1275</v>
      </c>
      <c r="H154" s="4" t="s">
        <v>1284</v>
      </c>
      <c r="I154" s="4" t="s">
        <v>1285</v>
      </c>
      <c r="J154" s="4" t="s">
        <v>60</v>
      </c>
      <c r="K154" s="4">
        <v>1.0342259935E10</v>
      </c>
      <c r="L154" s="6">
        <v>46971.0</v>
      </c>
      <c r="M154" s="4">
        <v>4.230150211458E12</v>
      </c>
      <c r="N154" s="6">
        <v>26264.0</v>
      </c>
      <c r="O154" s="4" t="s">
        <v>429</v>
      </c>
      <c r="P154" s="4" t="s">
        <v>1286</v>
      </c>
      <c r="Q154" s="4" t="s">
        <v>37</v>
      </c>
      <c r="R154" s="7" t="s">
        <v>1280</v>
      </c>
      <c r="S154" s="7" t="s">
        <v>1280</v>
      </c>
      <c r="T154" s="4" t="s">
        <v>1285</v>
      </c>
      <c r="U154" s="4" t="s">
        <v>193</v>
      </c>
      <c r="V154" s="4" t="s">
        <v>1284</v>
      </c>
      <c r="W154" s="4">
        <v>4.230158425757E12</v>
      </c>
      <c r="X154" s="4" t="s">
        <v>87</v>
      </c>
      <c r="Y154" s="7" t="s">
        <v>1281</v>
      </c>
      <c r="Z154" s="4" t="s">
        <v>1282</v>
      </c>
      <c r="AA154" s="4" t="s">
        <v>1285</v>
      </c>
      <c r="AB154" s="8"/>
    </row>
    <row r="155" ht="22.5" customHeight="1">
      <c r="A155" s="3">
        <v>46194.673672812496</v>
      </c>
      <c r="B155" s="4">
        <v>2.0</v>
      </c>
      <c r="C155" s="5" t="str">
        <f>IFERROR(__xludf.DUMMYFUNCTION("""COMPUTED_VALUE"""),"L39")</f>
        <v>L39</v>
      </c>
      <c r="D155" s="4">
        <v>4.230192023413E12</v>
      </c>
      <c r="E155" s="4" t="s">
        <v>1287</v>
      </c>
      <c r="F155" s="4" t="s">
        <v>45</v>
      </c>
      <c r="G155" s="4" t="s">
        <v>1288</v>
      </c>
      <c r="H155" s="4" t="s">
        <v>1287</v>
      </c>
      <c r="I155" s="4" t="s">
        <v>1289</v>
      </c>
      <c r="J155" s="4" t="s">
        <v>33</v>
      </c>
      <c r="M155" s="4">
        <v>4.230192023413E12</v>
      </c>
      <c r="N155" s="6">
        <v>30349.0</v>
      </c>
      <c r="O155" s="4" t="s">
        <v>177</v>
      </c>
      <c r="P155" s="4" t="s">
        <v>1290</v>
      </c>
      <c r="Q155" s="4" t="s">
        <v>52</v>
      </c>
      <c r="R155" s="7" t="s">
        <v>1291</v>
      </c>
      <c r="S155" s="7" t="s">
        <v>1291</v>
      </c>
      <c r="V155" s="4" t="s">
        <v>1292</v>
      </c>
      <c r="W155" s="4">
        <v>4.230116617352E12</v>
      </c>
      <c r="X155" s="4" t="s">
        <v>67</v>
      </c>
      <c r="Y155" s="7" t="s">
        <v>1293</v>
      </c>
      <c r="Z155" s="4" t="s">
        <v>1294</v>
      </c>
      <c r="AA155" s="4" t="s">
        <v>1287</v>
      </c>
      <c r="AB155" s="8"/>
    </row>
    <row r="156" ht="22.5" customHeight="1">
      <c r="A156" s="3">
        <v>46194.67940258102</v>
      </c>
      <c r="B156" s="4">
        <v>5.0</v>
      </c>
      <c r="C156" s="5" t="str">
        <f>IFERROR(__xludf.DUMMYFUNCTION("""COMPUTED_VALUE"""),"L40")</f>
        <v>L40</v>
      </c>
      <c r="D156" s="4">
        <v>4.220190171283E12</v>
      </c>
      <c r="E156" s="4" t="s">
        <v>1295</v>
      </c>
      <c r="F156" s="4" t="s">
        <v>45</v>
      </c>
      <c r="G156" s="4" t="s">
        <v>635</v>
      </c>
      <c r="H156" s="4" t="s">
        <v>1295</v>
      </c>
      <c r="I156" s="4" t="s">
        <v>1296</v>
      </c>
      <c r="J156" s="4" t="s">
        <v>33</v>
      </c>
      <c r="K156" s="4" t="s">
        <v>1297</v>
      </c>
      <c r="M156" s="4">
        <v>4.220190171283E12</v>
      </c>
      <c r="N156" s="6">
        <v>33227.0</v>
      </c>
      <c r="O156" s="4" t="s">
        <v>1298</v>
      </c>
      <c r="P156" s="4" t="s">
        <v>1299</v>
      </c>
      <c r="Q156" s="4" t="s">
        <v>133</v>
      </c>
      <c r="R156" s="7" t="s">
        <v>1300</v>
      </c>
      <c r="S156" s="7" t="s">
        <v>1300</v>
      </c>
      <c r="V156" s="4" t="s">
        <v>1301</v>
      </c>
      <c r="W156" s="4">
        <v>4.220163725498E12</v>
      </c>
      <c r="X156" s="4" t="s">
        <v>1302</v>
      </c>
      <c r="Y156" s="7" t="s">
        <v>1303</v>
      </c>
      <c r="Z156" s="4" t="s">
        <v>1304</v>
      </c>
      <c r="AA156" s="4" t="s">
        <v>615</v>
      </c>
      <c r="AB156" s="8"/>
    </row>
    <row r="157" ht="22.5" customHeight="1">
      <c r="A157" s="3">
        <v>46194.68168768518</v>
      </c>
      <c r="B157" s="4">
        <v>2.0</v>
      </c>
      <c r="C157" s="5" t="str">
        <f>IFERROR(__xludf.DUMMYFUNCTION("""COMPUTED_VALUE"""),"L39")</f>
        <v>L39</v>
      </c>
      <c r="D157" s="4">
        <v>4.230192023413E12</v>
      </c>
      <c r="E157" s="4" t="s">
        <v>1287</v>
      </c>
      <c r="F157" s="4" t="s">
        <v>45</v>
      </c>
      <c r="G157" s="4" t="s">
        <v>1305</v>
      </c>
      <c r="H157" s="4" t="s">
        <v>1306</v>
      </c>
      <c r="I157" s="4" t="s">
        <v>1287</v>
      </c>
      <c r="J157" s="4" t="s">
        <v>60</v>
      </c>
      <c r="M157" s="4">
        <v>4.230116617352E12</v>
      </c>
      <c r="N157" s="6">
        <v>32940.0</v>
      </c>
      <c r="O157" s="4" t="s">
        <v>177</v>
      </c>
      <c r="P157" s="4" t="s">
        <v>1290</v>
      </c>
      <c r="Q157" s="4" t="s">
        <v>52</v>
      </c>
      <c r="R157" s="7" t="s">
        <v>1293</v>
      </c>
      <c r="S157" s="7" t="s">
        <v>1293</v>
      </c>
      <c r="T157" s="4" t="s">
        <v>1287</v>
      </c>
      <c r="U157" s="4" t="s">
        <v>193</v>
      </c>
      <c r="V157" s="4" t="s">
        <v>1307</v>
      </c>
      <c r="W157" s="4">
        <v>4.230107493779E12</v>
      </c>
      <c r="X157" s="4" t="s">
        <v>630</v>
      </c>
      <c r="Y157" s="7" t="s">
        <v>1308</v>
      </c>
      <c r="Z157" s="4" t="s">
        <v>1309</v>
      </c>
      <c r="AA157" s="4" t="s">
        <v>1287</v>
      </c>
      <c r="AB157" s="8"/>
    </row>
    <row r="158" ht="22.5" customHeight="1">
      <c r="A158" s="3">
        <v>46194.684531562496</v>
      </c>
      <c r="B158" s="4">
        <v>5.0</v>
      </c>
      <c r="C158" s="5" t="str">
        <f>IFERROR(__xludf.DUMMYFUNCTION("""COMPUTED_VALUE"""),"L40")</f>
        <v>L40</v>
      </c>
      <c r="D158" s="4">
        <v>4.220190171283E12</v>
      </c>
      <c r="E158" s="4" t="s">
        <v>615</v>
      </c>
      <c r="F158" s="4" t="s">
        <v>45</v>
      </c>
      <c r="G158" s="4" t="s">
        <v>1310</v>
      </c>
      <c r="H158" s="4" t="s">
        <v>1311</v>
      </c>
      <c r="I158" s="4" t="s">
        <v>1312</v>
      </c>
      <c r="J158" s="4" t="s">
        <v>33</v>
      </c>
      <c r="K158" s="4" t="s">
        <v>1313</v>
      </c>
      <c r="L158" s="6" t="s">
        <v>1314</v>
      </c>
      <c r="M158" s="4">
        <v>4.220142914657E12</v>
      </c>
      <c r="N158" s="6">
        <v>34834.0</v>
      </c>
      <c r="O158" s="4" t="s">
        <v>1298</v>
      </c>
      <c r="P158" s="4" t="s">
        <v>1299</v>
      </c>
      <c r="Q158" s="4" t="s">
        <v>133</v>
      </c>
      <c r="R158" s="7" t="s">
        <v>1315</v>
      </c>
      <c r="S158" s="7" t="s">
        <v>1315</v>
      </c>
      <c r="V158" s="4" t="s">
        <v>1316</v>
      </c>
      <c r="W158" s="4">
        <v>4.220105508086E12</v>
      </c>
      <c r="X158" s="4" t="s">
        <v>1302</v>
      </c>
      <c r="Y158" s="7" t="s">
        <v>1317</v>
      </c>
      <c r="Z158" s="4" t="s">
        <v>1318</v>
      </c>
      <c r="AA158" s="4" t="s">
        <v>1311</v>
      </c>
      <c r="AB158" s="8"/>
    </row>
    <row r="159" ht="22.5" customHeight="1">
      <c r="A159" s="3">
        <v>46194.68600508102</v>
      </c>
      <c r="B159" s="4">
        <v>2.0</v>
      </c>
      <c r="C159" s="5" t="str">
        <f>IFERROR(__xludf.DUMMYFUNCTION("""COMPUTED_VALUE"""),"L39")</f>
        <v>L39</v>
      </c>
      <c r="D159" s="4">
        <v>4.230192023413E12</v>
      </c>
      <c r="E159" s="4" t="s">
        <v>1287</v>
      </c>
      <c r="F159" s="4" t="s">
        <v>45</v>
      </c>
      <c r="G159" s="4" t="s">
        <v>1319</v>
      </c>
      <c r="H159" s="4" t="s">
        <v>554</v>
      </c>
      <c r="I159" s="4" t="s">
        <v>1320</v>
      </c>
      <c r="J159" s="4" t="s">
        <v>33</v>
      </c>
      <c r="M159" s="4">
        <v>4.230192023413E12</v>
      </c>
      <c r="N159" s="6">
        <v>30349.0</v>
      </c>
      <c r="O159" s="4" t="s">
        <v>177</v>
      </c>
      <c r="P159" s="4" t="s">
        <v>1290</v>
      </c>
      <c r="Q159" s="4" t="s">
        <v>52</v>
      </c>
      <c r="R159" s="7" t="s">
        <v>1291</v>
      </c>
      <c r="S159" s="7" t="s">
        <v>1291</v>
      </c>
      <c r="V159" s="4" t="s">
        <v>1321</v>
      </c>
      <c r="W159" s="4">
        <v>4.230189415056E12</v>
      </c>
      <c r="X159" s="4" t="s">
        <v>122</v>
      </c>
      <c r="Y159" s="7" t="s">
        <v>1322</v>
      </c>
      <c r="Z159" s="4" t="s">
        <v>1323</v>
      </c>
      <c r="AA159" s="4" t="s">
        <v>1287</v>
      </c>
      <c r="AB159" s="8"/>
    </row>
    <row r="160" ht="22.5" customHeight="1">
      <c r="A160" s="3">
        <v>46194.68774204861</v>
      </c>
      <c r="B160" s="4">
        <v>5.0</v>
      </c>
      <c r="C160" s="5" t="str">
        <f>IFERROR(__xludf.DUMMYFUNCTION("""COMPUTED_VALUE"""),"L40")</f>
        <v>L40</v>
      </c>
      <c r="D160" s="4">
        <v>4.220190171283E12</v>
      </c>
      <c r="E160" s="4" t="s">
        <v>615</v>
      </c>
      <c r="F160" s="4" t="s">
        <v>45</v>
      </c>
      <c r="G160" s="4" t="s">
        <v>1310</v>
      </c>
      <c r="H160" s="4" t="s">
        <v>1324</v>
      </c>
      <c r="I160" s="4" t="s">
        <v>1312</v>
      </c>
      <c r="J160" s="4" t="s">
        <v>60</v>
      </c>
      <c r="K160" s="4" t="s">
        <v>1325</v>
      </c>
      <c r="M160" s="4">
        <v>4.220186972306E12</v>
      </c>
      <c r="N160" s="6">
        <v>25496.0</v>
      </c>
      <c r="O160" s="4" t="s">
        <v>1298</v>
      </c>
      <c r="P160" s="4" t="s">
        <v>1299</v>
      </c>
      <c r="Q160" s="4" t="s">
        <v>37</v>
      </c>
      <c r="R160" s="7" t="s">
        <v>1326</v>
      </c>
      <c r="S160" s="7" t="s">
        <v>1326</v>
      </c>
      <c r="T160" s="4" t="s">
        <v>615</v>
      </c>
      <c r="U160" s="4" t="s">
        <v>272</v>
      </c>
      <c r="V160" s="4" t="s">
        <v>1301</v>
      </c>
      <c r="W160" s="4">
        <v>4.220163725498E12</v>
      </c>
      <c r="X160" s="4" t="s">
        <v>139</v>
      </c>
      <c r="Y160" s="7" t="s">
        <v>1303</v>
      </c>
    </row>
    <row r="161" ht="22.5" customHeight="1">
      <c r="A161" s="3">
        <v>46194.688651226854</v>
      </c>
      <c r="B161" s="4">
        <v>2.0</v>
      </c>
      <c r="C161" s="5" t="str">
        <f>IFERROR(__xludf.DUMMYFUNCTION("""COMPUTED_VALUE"""),"S32")</f>
        <v>S32</v>
      </c>
      <c r="D161" s="4">
        <v>4.230127063523E12</v>
      </c>
      <c r="E161" s="4" t="s">
        <v>1327</v>
      </c>
      <c r="F161" s="4" t="s">
        <v>29</v>
      </c>
      <c r="G161" s="4" t="s">
        <v>1328</v>
      </c>
      <c r="H161" s="4" t="s">
        <v>1327</v>
      </c>
      <c r="I161" s="4" t="s">
        <v>1329</v>
      </c>
      <c r="J161" s="4" t="s">
        <v>33</v>
      </c>
      <c r="K161" s="4" t="s">
        <v>1330</v>
      </c>
      <c r="L161" s="6">
        <v>47561.0</v>
      </c>
      <c r="M161" s="4">
        <v>4.230127063523E12</v>
      </c>
      <c r="N161" s="6">
        <v>32485.0</v>
      </c>
      <c r="O161" s="4" t="s">
        <v>330</v>
      </c>
      <c r="P161" s="4" t="s">
        <v>1331</v>
      </c>
      <c r="Q161" s="4" t="s">
        <v>37</v>
      </c>
      <c r="R161" s="7" t="s">
        <v>1332</v>
      </c>
      <c r="S161" s="7" t="s">
        <v>1332</v>
      </c>
      <c r="V161" s="4" t="s">
        <v>1329</v>
      </c>
      <c r="W161" s="4">
        <v>4.230109424899E12</v>
      </c>
      <c r="X161" s="4" t="s">
        <v>40</v>
      </c>
      <c r="Y161" s="7" t="s">
        <v>1333</v>
      </c>
      <c r="Z161" s="4">
        <v>9.973010446999E13</v>
      </c>
      <c r="AA161" s="4" t="s">
        <v>1327</v>
      </c>
      <c r="AB161" s="8"/>
    </row>
    <row r="162" ht="22.5" customHeight="1">
      <c r="A162" s="3">
        <v>46194.690653831014</v>
      </c>
      <c r="B162" s="4">
        <v>5.0</v>
      </c>
      <c r="C162" s="5" t="str">
        <f>IFERROR(__xludf.DUMMYFUNCTION("""COMPUTED_VALUE"""),"L40")</f>
        <v>L40</v>
      </c>
      <c r="D162" s="4">
        <v>4.220190171283E12</v>
      </c>
      <c r="E162" s="4" t="s">
        <v>615</v>
      </c>
      <c r="F162" s="4" t="s">
        <v>45</v>
      </c>
      <c r="G162" s="4" t="s">
        <v>1310</v>
      </c>
      <c r="H162" s="4" t="s">
        <v>1334</v>
      </c>
      <c r="I162" s="4" t="s">
        <v>615</v>
      </c>
      <c r="J162" s="4" t="s">
        <v>60</v>
      </c>
      <c r="K162" s="4" t="s">
        <v>1335</v>
      </c>
      <c r="M162" s="4">
        <v>4.220109681302E12</v>
      </c>
      <c r="N162" s="6">
        <v>35187.0</v>
      </c>
      <c r="O162" s="4" t="s">
        <v>1298</v>
      </c>
      <c r="P162" s="4" t="s">
        <v>1336</v>
      </c>
      <c r="Q162" s="4" t="s">
        <v>37</v>
      </c>
      <c r="R162" s="7" t="s">
        <v>1337</v>
      </c>
      <c r="S162" s="7" t="s">
        <v>1337</v>
      </c>
      <c r="T162" s="4" t="s">
        <v>615</v>
      </c>
      <c r="U162" s="4" t="s">
        <v>270</v>
      </c>
      <c r="V162" s="4" t="s">
        <v>1301</v>
      </c>
      <c r="W162" s="4">
        <v>4.220163725498E12</v>
      </c>
      <c r="X162" s="4" t="s">
        <v>1338</v>
      </c>
      <c r="Y162" s="7" t="s">
        <v>1303</v>
      </c>
    </row>
    <row r="163" ht="22.5" customHeight="1">
      <c r="A163" s="3">
        <v>46194.69318123843</v>
      </c>
      <c r="B163" s="4">
        <v>2.0</v>
      </c>
      <c r="C163" s="5" t="str">
        <f>IFERROR(__xludf.DUMMYFUNCTION("""COMPUTED_VALUE"""),"S32")</f>
        <v>S32</v>
      </c>
      <c r="D163" s="4">
        <v>4.230127063523E12</v>
      </c>
      <c r="E163" s="4" t="s">
        <v>1327</v>
      </c>
      <c r="F163" s="4" t="s">
        <v>29</v>
      </c>
      <c r="G163" s="4" t="s">
        <v>818</v>
      </c>
      <c r="H163" s="4" t="s">
        <v>1339</v>
      </c>
      <c r="I163" s="4" t="s">
        <v>1327</v>
      </c>
      <c r="J163" s="4" t="s">
        <v>60</v>
      </c>
      <c r="K163" s="4" t="s">
        <v>1340</v>
      </c>
      <c r="L163" s="6">
        <v>47561.0</v>
      </c>
      <c r="M163" s="4">
        <v>4.230161796192E12</v>
      </c>
      <c r="N163" s="6">
        <v>34987.0</v>
      </c>
      <c r="O163" s="4" t="s">
        <v>1341</v>
      </c>
      <c r="P163" s="4" t="s">
        <v>1342</v>
      </c>
      <c r="Q163" s="4" t="s">
        <v>37</v>
      </c>
      <c r="R163" s="7" t="s">
        <v>1343</v>
      </c>
      <c r="S163" s="7" t="s">
        <v>1343</v>
      </c>
      <c r="T163" s="4" t="s">
        <v>1327</v>
      </c>
      <c r="U163" s="4" t="s">
        <v>65</v>
      </c>
      <c r="V163" s="4" t="s">
        <v>1327</v>
      </c>
      <c r="W163" s="4">
        <v>4.230127063523E12</v>
      </c>
      <c r="X163" s="4" t="s">
        <v>65</v>
      </c>
      <c r="Y163" s="7" t="s">
        <v>1332</v>
      </c>
      <c r="Z163" s="4">
        <v>9.973010446999E13</v>
      </c>
      <c r="AA163" s="4" t="s">
        <v>1327</v>
      </c>
      <c r="AB163" s="8"/>
    </row>
    <row r="164" ht="22.5" customHeight="1">
      <c r="A164" s="3">
        <v>46194.69353512731</v>
      </c>
      <c r="B164" s="4">
        <v>5.0</v>
      </c>
      <c r="C164" s="5" t="str">
        <f>IFERROR(__xludf.DUMMYFUNCTION("""COMPUTED_VALUE"""),"L40")</f>
        <v>L40</v>
      </c>
      <c r="D164" s="4">
        <v>4.220190171283E12</v>
      </c>
      <c r="E164" s="4" t="s">
        <v>615</v>
      </c>
      <c r="F164" s="4" t="s">
        <v>45</v>
      </c>
      <c r="G164" s="4" t="s">
        <v>1310</v>
      </c>
      <c r="H164" s="4" t="s">
        <v>1344</v>
      </c>
      <c r="I164" s="4" t="s">
        <v>1311</v>
      </c>
      <c r="J164" s="4" t="s">
        <v>60</v>
      </c>
      <c r="K164" s="4" t="s">
        <v>1345</v>
      </c>
      <c r="M164" s="4">
        <v>9.040301871318E12</v>
      </c>
      <c r="N164" s="6">
        <v>37876.0</v>
      </c>
      <c r="O164" s="4" t="s">
        <v>1298</v>
      </c>
      <c r="P164" s="4" t="s">
        <v>1346</v>
      </c>
      <c r="Q164" s="4" t="s">
        <v>133</v>
      </c>
      <c r="R164" s="7" t="s">
        <v>1347</v>
      </c>
      <c r="S164" s="7" t="s">
        <v>1347</v>
      </c>
      <c r="T164" s="4" t="s">
        <v>1311</v>
      </c>
      <c r="U164" s="4" t="s">
        <v>270</v>
      </c>
      <c r="V164" s="4" t="s">
        <v>1316</v>
      </c>
      <c r="W164" s="4">
        <v>4.220105508086E12</v>
      </c>
      <c r="X164" s="4" t="s">
        <v>1338</v>
      </c>
      <c r="Y164" s="7" t="s">
        <v>1317</v>
      </c>
    </row>
    <row r="165" ht="22.5" customHeight="1">
      <c r="A165" s="3">
        <v>46194.70440297454</v>
      </c>
      <c r="B165" s="4">
        <v>1.0</v>
      </c>
      <c r="C165" s="5" t="str">
        <f>IFERROR(__xludf.DUMMYFUNCTION("""COMPUTED_VALUE"""),"S33")</f>
        <v>S33</v>
      </c>
      <c r="D165" s="4">
        <v>4.220110527307E12</v>
      </c>
      <c r="E165" s="4" t="s">
        <v>1348</v>
      </c>
      <c r="F165" s="4" t="s">
        <v>29</v>
      </c>
      <c r="G165" s="4" t="s">
        <v>1349</v>
      </c>
      <c r="H165" s="4" t="s">
        <v>1348</v>
      </c>
      <c r="I165" s="4" t="s">
        <v>1350</v>
      </c>
      <c r="J165" s="4" t="s">
        <v>33</v>
      </c>
      <c r="K165" s="4" t="s">
        <v>1351</v>
      </c>
      <c r="L165" s="6">
        <v>47884.0</v>
      </c>
      <c r="M165" s="4">
        <v>4.220110527307E12</v>
      </c>
      <c r="N165" s="6">
        <v>19575.0</v>
      </c>
      <c r="O165" s="4" t="s">
        <v>1055</v>
      </c>
      <c r="P165" s="4" t="s">
        <v>1352</v>
      </c>
      <c r="Q165" s="4" t="s">
        <v>37</v>
      </c>
      <c r="R165" s="7" t="s">
        <v>1353</v>
      </c>
      <c r="S165" s="7" t="s">
        <v>1353</v>
      </c>
      <c r="T165" s="4" t="s">
        <v>1354</v>
      </c>
      <c r="U165" s="4" t="s">
        <v>1354</v>
      </c>
      <c r="V165" s="4" t="s">
        <v>1355</v>
      </c>
      <c r="W165" s="4">
        <v>4.22017636527E12</v>
      </c>
      <c r="X165" s="4" t="s">
        <v>1338</v>
      </c>
      <c r="Y165" s="7" t="s">
        <v>1356</v>
      </c>
      <c r="Z165" s="4" t="s">
        <v>1357</v>
      </c>
      <c r="AA165" s="4" t="s">
        <v>1348</v>
      </c>
      <c r="AB165" s="8"/>
    </row>
    <row r="166" ht="22.5" customHeight="1">
      <c r="A166" s="3">
        <v>46194.75133280092</v>
      </c>
      <c r="B166" s="4">
        <v>3.0</v>
      </c>
      <c r="C166" s="5" t="str">
        <f>IFERROR(__xludf.DUMMYFUNCTION("""COMPUTED_VALUE"""),"L41")</f>
        <v>L41</v>
      </c>
      <c r="D166" s="4">
        <v>4.200077244471E12</v>
      </c>
      <c r="E166" s="4" t="s">
        <v>1358</v>
      </c>
      <c r="F166" s="4" t="s">
        <v>45</v>
      </c>
      <c r="G166" s="4" t="s">
        <v>1359</v>
      </c>
      <c r="H166" s="4" t="s">
        <v>31</v>
      </c>
      <c r="I166" s="4" t="s">
        <v>1360</v>
      </c>
      <c r="J166" s="4" t="s">
        <v>33</v>
      </c>
      <c r="M166" s="4">
        <v>4.200077244471E12</v>
      </c>
      <c r="N166" s="6">
        <v>32056.0</v>
      </c>
      <c r="O166" s="4" t="s">
        <v>160</v>
      </c>
      <c r="P166" s="4" t="s">
        <v>1361</v>
      </c>
      <c r="Q166" s="4" t="s">
        <v>37</v>
      </c>
      <c r="R166" s="7" t="s">
        <v>1362</v>
      </c>
      <c r="S166" s="7" t="s">
        <v>1362</v>
      </c>
      <c r="V166" s="4" t="s">
        <v>1363</v>
      </c>
      <c r="W166" s="4">
        <v>4.230119959687E12</v>
      </c>
      <c r="X166" s="4" t="s">
        <v>79</v>
      </c>
      <c r="Y166" s="7" t="s">
        <v>1364</v>
      </c>
      <c r="Z166" s="4" t="s">
        <v>1365</v>
      </c>
      <c r="AA166" s="4" t="s">
        <v>1358</v>
      </c>
      <c r="AB166" s="8"/>
    </row>
    <row r="167" ht="22.5" customHeight="1">
      <c r="A167" s="3">
        <v>46194.76154496528</v>
      </c>
      <c r="B167" s="4">
        <v>5.0</v>
      </c>
      <c r="C167" s="5" t="str">
        <f>IFERROR(__xludf.DUMMYFUNCTION("""COMPUTED_VALUE"""),"S34")</f>
        <v>S34</v>
      </c>
      <c r="D167" s="4">
        <v>4.230110729059E12</v>
      </c>
      <c r="E167" s="4" t="s">
        <v>1366</v>
      </c>
      <c r="F167" s="4" t="s">
        <v>29</v>
      </c>
      <c r="G167" s="4" t="s">
        <v>1367</v>
      </c>
      <c r="H167" s="4" t="s">
        <v>1368</v>
      </c>
      <c r="I167" s="4" t="s">
        <v>1369</v>
      </c>
      <c r="J167" s="4" t="s">
        <v>33</v>
      </c>
      <c r="K167" s="4" t="s">
        <v>1370</v>
      </c>
      <c r="L167" s="6">
        <v>47763.0</v>
      </c>
      <c r="M167" s="4">
        <v>4.230110729059E12</v>
      </c>
      <c r="N167" s="6">
        <v>30124.0</v>
      </c>
      <c r="O167" s="4" t="s">
        <v>529</v>
      </c>
      <c r="P167" s="4" t="s">
        <v>1371</v>
      </c>
      <c r="Q167" s="4" t="s">
        <v>133</v>
      </c>
      <c r="R167" s="7" t="s">
        <v>1372</v>
      </c>
      <c r="S167" s="7" t="s">
        <v>1372</v>
      </c>
      <c r="V167" s="4" t="s">
        <v>1373</v>
      </c>
      <c r="W167" s="4">
        <v>4.230163078181E12</v>
      </c>
      <c r="X167" s="4" t="s">
        <v>310</v>
      </c>
      <c r="Y167" s="7" t="s">
        <v>1374</v>
      </c>
      <c r="Z167" s="7" t="s">
        <v>1375</v>
      </c>
      <c r="AA167" s="4" t="s">
        <v>1376</v>
      </c>
      <c r="AB167" s="8"/>
    </row>
    <row r="168" ht="22.5" customHeight="1">
      <c r="A168" s="3">
        <v>46194.76187849537</v>
      </c>
      <c r="B168" s="4">
        <v>3.0</v>
      </c>
      <c r="C168" s="5" t="str">
        <f>IFERROR(__xludf.DUMMYFUNCTION("""COMPUTED_VALUE"""),"L41")</f>
        <v>L41</v>
      </c>
      <c r="D168" s="4">
        <v>4.200077244471E12</v>
      </c>
      <c r="E168" s="4" t="s">
        <v>1377</v>
      </c>
      <c r="F168" s="4" t="s">
        <v>45</v>
      </c>
      <c r="G168" s="4" t="s">
        <v>1359</v>
      </c>
      <c r="H168" s="4" t="s">
        <v>1378</v>
      </c>
      <c r="I168" s="4" t="s">
        <v>1377</v>
      </c>
      <c r="J168" s="4" t="s">
        <v>60</v>
      </c>
      <c r="K168" s="4" t="s">
        <v>1379</v>
      </c>
      <c r="L168" s="6">
        <v>47369.0</v>
      </c>
      <c r="M168" s="4">
        <v>4.230173748128E12</v>
      </c>
      <c r="N168" s="6">
        <v>32109.0</v>
      </c>
      <c r="O168" s="4" t="s">
        <v>148</v>
      </c>
      <c r="P168" s="4" t="s">
        <v>1361</v>
      </c>
      <c r="Q168" s="4" t="s">
        <v>37</v>
      </c>
      <c r="R168" s="7" t="s">
        <v>1380</v>
      </c>
      <c r="S168" s="7" t="s">
        <v>1380</v>
      </c>
      <c r="T168" s="4" t="s">
        <v>1377</v>
      </c>
      <c r="U168" s="4" t="s">
        <v>193</v>
      </c>
      <c r="V168" s="4" t="s">
        <v>485</v>
      </c>
      <c r="W168" s="4">
        <v>4.230185240657E12</v>
      </c>
      <c r="X168" s="4" t="s">
        <v>630</v>
      </c>
      <c r="Y168" s="7" t="s">
        <v>1381</v>
      </c>
      <c r="Z168" s="4" t="s">
        <v>1365</v>
      </c>
      <c r="AA168" s="4" t="s">
        <v>1377</v>
      </c>
      <c r="AB168" s="8"/>
    </row>
    <row r="169" ht="22.5" customHeight="1">
      <c r="A169" s="3">
        <v>46194.769063472224</v>
      </c>
      <c r="B169" s="4">
        <v>5.0</v>
      </c>
      <c r="C169" s="5" t="str">
        <f>IFERROR(__xludf.DUMMYFUNCTION("""COMPUTED_VALUE"""),"S34")</f>
        <v>S34</v>
      </c>
      <c r="D169" s="4">
        <v>4.230110729059E12</v>
      </c>
      <c r="E169" s="4" t="s">
        <v>1382</v>
      </c>
      <c r="F169" s="4" t="s">
        <v>29</v>
      </c>
      <c r="G169" s="4" t="s">
        <v>1239</v>
      </c>
      <c r="H169" s="4" t="s">
        <v>1383</v>
      </c>
      <c r="I169" s="4" t="s">
        <v>1384</v>
      </c>
      <c r="J169" s="4" t="s">
        <v>60</v>
      </c>
      <c r="K169" s="4" t="s">
        <v>1385</v>
      </c>
      <c r="L169" s="6">
        <v>47169.0</v>
      </c>
      <c r="M169" s="4">
        <v>4.230109650858E12</v>
      </c>
      <c r="N169" s="6">
        <v>20455.0</v>
      </c>
      <c r="O169" s="4" t="s">
        <v>1386</v>
      </c>
      <c r="P169" s="4" t="s">
        <v>1387</v>
      </c>
      <c r="Q169" s="4" t="s">
        <v>133</v>
      </c>
      <c r="R169" s="7" t="s">
        <v>1374</v>
      </c>
      <c r="S169" s="7" t="s">
        <v>1374</v>
      </c>
      <c r="T169" s="4" t="s">
        <v>1388</v>
      </c>
      <c r="U169" s="4" t="s">
        <v>87</v>
      </c>
      <c r="V169" s="4" t="s">
        <v>1373</v>
      </c>
      <c r="W169" s="4">
        <v>4.230163078181E12</v>
      </c>
      <c r="X169" s="4" t="s">
        <v>87</v>
      </c>
      <c r="Y169" s="7" t="s">
        <v>1374</v>
      </c>
      <c r="Z169" s="7" t="s">
        <v>1375</v>
      </c>
      <c r="AA169" s="4" t="s">
        <v>1389</v>
      </c>
      <c r="AB169" s="8"/>
    </row>
    <row r="170" ht="22.5" customHeight="1">
      <c r="A170" s="3">
        <v>46194.773858252316</v>
      </c>
      <c r="B170" s="4">
        <v>5.0</v>
      </c>
      <c r="C170" s="5" t="str">
        <f>IFERROR(__xludf.DUMMYFUNCTION("""COMPUTED_VALUE"""),"S35")</f>
        <v>S35</v>
      </c>
      <c r="D170" s="4">
        <v>4.23011072905E11</v>
      </c>
      <c r="E170" s="4" t="s">
        <v>1388</v>
      </c>
      <c r="F170" s="4" t="s">
        <v>29</v>
      </c>
      <c r="G170" s="4" t="s">
        <v>1367</v>
      </c>
      <c r="H170" s="4" t="s">
        <v>1390</v>
      </c>
      <c r="I170" s="4" t="s">
        <v>1389</v>
      </c>
      <c r="J170" s="4" t="s">
        <v>60</v>
      </c>
      <c r="K170" s="4" t="s">
        <v>1391</v>
      </c>
      <c r="L170" s="6">
        <v>47763.0</v>
      </c>
      <c r="M170" s="4">
        <v>4.230136339792E12</v>
      </c>
      <c r="N170" s="6">
        <v>32594.0</v>
      </c>
      <c r="O170" s="4" t="s">
        <v>904</v>
      </c>
      <c r="P170" s="4" t="s">
        <v>1392</v>
      </c>
      <c r="Q170" s="4" t="s">
        <v>119</v>
      </c>
      <c r="R170" s="7" t="s">
        <v>1393</v>
      </c>
      <c r="S170" s="7" t="s">
        <v>1393</v>
      </c>
      <c r="T170" s="4" t="s">
        <v>1367</v>
      </c>
      <c r="U170" s="4" t="s">
        <v>65</v>
      </c>
      <c r="V170" s="4" t="s">
        <v>1373</v>
      </c>
      <c r="W170" s="4">
        <v>4.230163078181E12</v>
      </c>
      <c r="X170" s="4" t="s">
        <v>358</v>
      </c>
      <c r="Y170" s="7" t="s">
        <v>1374</v>
      </c>
      <c r="Z170" s="7" t="s">
        <v>1375</v>
      </c>
      <c r="AA170" s="4" t="s">
        <v>1394</v>
      </c>
      <c r="AB170" s="8"/>
    </row>
    <row r="171" ht="22.5" customHeight="1">
      <c r="A171" s="3">
        <v>46194.77984726852</v>
      </c>
      <c r="B171" s="4">
        <v>5.0</v>
      </c>
      <c r="C171" s="5" t="str">
        <f>IFERROR(__xludf.DUMMYFUNCTION("""COMPUTED_VALUE"""),"S34")</f>
        <v>S34</v>
      </c>
      <c r="D171" s="4">
        <v>4.230110729059E12</v>
      </c>
      <c r="E171" s="4" t="s">
        <v>1395</v>
      </c>
      <c r="F171" s="4" t="s">
        <v>29</v>
      </c>
      <c r="G171" s="4" t="s">
        <v>1396</v>
      </c>
      <c r="H171" s="4" t="s">
        <v>1368</v>
      </c>
      <c r="I171" s="4" t="s">
        <v>1369</v>
      </c>
      <c r="J171" s="4" t="s">
        <v>33</v>
      </c>
      <c r="K171" s="4" t="s">
        <v>1397</v>
      </c>
      <c r="L171" s="6">
        <v>47523.0</v>
      </c>
      <c r="M171" s="4">
        <v>4.230110729047E12</v>
      </c>
      <c r="N171" s="6">
        <v>29077.0</v>
      </c>
      <c r="O171" s="4" t="s">
        <v>1386</v>
      </c>
      <c r="P171" s="4" t="s">
        <v>1398</v>
      </c>
      <c r="Q171" s="4" t="s">
        <v>133</v>
      </c>
      <c r="R171" s="7" t="s">
        <v>1399</v>
      </c>
      <c r="S171" s="7" t="s">
        <v>1399</v>
      </c>
      <c r="V171" s="4" t="s">
        <v>1400</v>
      </c>
      <c r="W171" s="4">
        <v>4.230163078181E12</v>
      </c>
      <c r="X171" s="4" t="s">
        <v>310</v>
      </c>
      <c r="Y171" s="7" t="s">
        <v>1374</v>
      </c>
      <c r="Z171" s="7" t="s">
        <v>1375</v>
      </c>
      <c r="AA171" s="4" t="s">
        <v>1401</v>
      </c>
      <c r="AB171" s="8"/>
    </row>
    <row r="172" ht="22.5" customHeight="1">
      <c r="A172" s="3">
        <v>46194.78580347222</v>
      </c>
      <c r="B172" s="4">
        <v>5.0</v>
      </c>
      <c r="C172" s="5" t="str">
        <f>IFERROR(__xludf.DUMMYFUNCTION("""COMPUTED_VALUE"""),"S34")</f>
        <v>S34</v>
      </c>
      <c r="D172" s="4">
        <v>4.230110729059E12</v>
      </c>
      <c r="E172" s="4" t="s">
        <v>1395</v>
      </c>
      <c r="F172" s="4" t="s">
        <v>29</v>
      </c>
      <c r="G172" s="4" t="s">
        <v>1402</v>
      </c>
      <c r="H172" s="4" t="s">
        <v>1403</v>
      </c>
      <c r="I172" s="4" t="s">
        <v>1404</v>
      </c>
      <c r="J172" s="4" t="s">
        <v>60</v>
      </c>
      <c r="K172" s="4" t="s">
        <v>1405</v>
      </c>
      <c r="L172" s="6">
        <v>47523.0</v>
      </c>
      <c r="M172" s="4">
        <v>4.230144833162E12</v>
      </c>
      <c r="N172" s="6">
        <v>31070.0</v>
      </c>
      <c r="O172" s="4" t="s">
        <v>1386</v>
      </c>
      <c r="P172" s="4" t="s">
        <v>1406</v>
      </c>
      <c r="Q172" s="4" t="s">
        <v>133</v>
      </c>
      <c r="R172" s="7" t="s">
        <v>1399</v>
      </c>
      <c r="S172" s="7" t="s">
        <v>1399</v>
      </c>
      <c r="T172" s="4" t="s">
        <v>1396</v>
      </c>
      <c r="U172" s="4" t="s">
        <v>193</v>
      </c>
      <c r="V172" s="4" t="s">
        <v>1400</v>
      </c>
      <c r="W172" s="4">
        <v>4.230163078181E12</v>
      </c>
      <c r="X172" s="4" t="s">
        <v>358</v>
      </c>
      <c r="Y172" s="7" t="s">
        <v>1374</v>
      </c>
      <c r="Z172" s="7" t="s">
        <v>1375</v>
      </c>
      <c r="AA172" s="4" t="s">
        <v>1394</v>
      </c>
      <c r="AB172" s="8"/>
    </row>
    <row r="173" ht="22.5" customHeight="1">
      <c r="A173" s="3">
        <v>46194.79394423611</v>
      </c>
      <c r="B173" s="4" t="s">
        <v>1407</v>
      </c>
      <c r="C173" s="5" t="str">
        <f>IFERROR(__xludf.DUMMYFUNCTION("""COMPUTED_VALUE"""),"S36")</f>
        <v>S36</v>
      </c>
      <c r="D173" s="4" t="s">
        <v>1408</v>
      </c>
      <c r="E173" s="4" t="s">
        <v>1407</v>
      </c>
      <c r="F173" s="4" t="s">
        <v>29</v>
      </c>
      <c r="G173" s="4" t="s">
        <v>986</v>
      </c>
      <c r="H173" s="4" t="s">
        <v>1407</v>
      </c>
      <c r="I173" s="4" t="s">
        <v>986</v>
      </c>
      <c r="J173" s="4" t="s">
        <v>33</v>
      </c>
      <c r="M173" s="4" t="s">
        <v>1408</v>
      </c>
      <c r="N173" s="6">
        <v>28996.0</v>
      </c>
      <c r="O173" s="4" t="s">
        <v>758</v>
      </c>
      <c r="P173" s="4" t="s">
        <v>1409</v>
      </c>
      <c r="Q173" s="4" t="s">
        <v>37</v>
      </c>
      <c r="R173" s="7" t="s">
        <v>1410</v>
      </c>
      <c r="S173" s="7" t="s">
        <v>1411</v>
      </c>
      <c r="V173" s="4" t="s">
        <v>1412</v>
      </c>
      <c r="W173" s="4" t="s">
        <v>1413</v>
      </c>
      <c r="X173" s="4" t="s">
        <v>79</v>
      </c>
      <c r="Y173" s="7" t="s">
        <v>1414</v>
      </c>
    </row>
    <row r="174" ht="22.5" customHeight="1">
      <c r="A174" s="3">
        <v>46194.799429861116</v>
      </c>
      <c r="B174" s="4">
        <v>2.0</v>
      </c>
      <c r="C174" s="5" t="str">
        <f>IFERROR(__xludf.DUMMYFUNCTION("""COMPUTED_VALUE"""),"S36")</f>
        <v>S36</v>
      </c>
      <c r="D174" s="4" t="s">
        <v>1408</v>
      </c>
      <c r="E174" s="4" t="s">
        <v>1407</v>
      </c>
      <c r="F174" s="4" t="s">
        <v>29</v>
      </c>
      <c r="G174" s="4" t="s">
        <v>1407</v>
      </c>
      <c r="H174" s="4" t="s">
        <v>1415</v>
      </c>
      <c r="I174" s="4" t="s">
        <v>1407</v>
      </c>
      <c r="J174" s="4" t="s">
        <v>33</v>
      </c>
      <c r="K174" s="4" t="s">
        <v>1416</v>
      </c>
      <c r="M174" s="4" t="s">
        <v>1417</v>
      </c>
      <c r="N174" s="6">
        <v>33144.0</v>
      </c>
      <c r="O174" s="4" t="s">
        <v>148</v>
      </c>
      <c r="P174" s="4" t="s">
        <v>1418</v>
      </c>
      <c r="Q174" s="4" t="s">
        <v>52</v>
      </c>
      <c r="R174" s="4" t="s">
        <v>1419</v>
      </c>
      <c r="S174" s="4" t="s">
        <v>1419</v>
      </c>
      <c r="T174" s="4" t="s">
        <v>1407</v>
      </c>
      <c r="U174" s="4" t="s">
        <v>65</v>
      </c>
      <c r="V174" s="4" t="s">
        <v>1412</v>
      </c>
      <c r="W174" s="4" t="s">
        <v>1420</v>
      </c>
      <c r="X174" s="4" t="s">
        <v>587</v>
      </c>
      <c r="Y174" s="7" t="s">
        <v>1414</v>
      </c>
    </row>
    <row r="175" ht="22.5" customHeight="1">
      <c r="A175" s="3">
        <v>46194.8014666088</v>
      </c>
      <c r="B175" s="4">
        <v>3.0</v>
      </c>
      <c r="C175" s="5" t="str">
        <f>IFERROR(__xludf.DUMMYFUNCTION("""COMPUTED_VALUE"""),"S2")</f>
        <v>S2</v>
      </c>
      <c r="D175" s="4" t="s">
        <v>196</v>
      </c>
      <c r="E175" s="4" t="s">
        <v>197</v>
      </c>
      <c r="F175" s="4" t="s">
        <v>29</v>
      </c>
      <c r="G175" s="4" t="s">
        <v>837</v>
      </c>
      <c r="H175" s="4" t="s">
        <v>1421</v>
      </c>
      <c r="I175" s="4" t="s">
        <v>197</v>
      </c>
      <c r="J175" s="4" t="s">
        <v>60</v>
      </c>
      <c r="M175" s="4" t="s">
        <v>1422</v>
      </c>
      <c r="N175" s="6">
        <v>37386.0</v>
      </c>
      <c r="O175" s="4" t="s">
        <v>148</v>
      </c>
      <c r="P175" s="4" t="s">
        <v>1423</v>
      </c>
      <c r="Q175" s="4" t="s">
        <v>37</v>
      </c>
      <c r="R175" s="4" t="s">
        <v>1424</v>
      </c>
      <c r="S175" s="4" t="s">
        <v>1424</v>
      </c>
      <c r="T175" s="4" t="s">
        <v>197</v>
      </c>
      <c r="U175" s="4" t="s">
        <v>65</v>
      </c>
      <c r="V175" s="4" t="s">
        <v>72</v>
      </c>
      <c r="W175" s="4">
        <v>4.230108113107E12</v>
      </c>
      <c r="X175" s="4" t="s">
        <v>1425</v>
      </c>
      <c r="Y175" s="4" t="s">
        <v>1426</v>
      </c>
    </row>
    <row r="176" ht="22.5" customHeight="1">
      <c r="A176" s="3">
        <v>46194.80369193287</v>
      </c>
      <c r="B176" s="4">
        <v>3.0</v>
      </c>
      <c r="C176" s="5" t="str">
        <f>IFERROR(__xludf.DUMMYFUNCTION("""COMPUTED_VALUE"""),"S2")</f>
        <v>S2</v>
      </c>
      <c r="D176" s="4" t="s">
        <v>196</v>
      </c>
      <c r="E176" s="4" t="s">
        <v>1427</v>
      </c>
      <c r="F176" s="4" t="s">
        <v>29</v>
      </c>
      <c r="G176" s="4" t="s">
        <v>72</v>
      </c>
      <c r="H176" s="4" t="s">
        <v>566</v>
      </c>
      <c r="I176" s="4" t="s">
        <v>72</v>
      </c>
      <c r="J176" s="4" t="s">
        <v>60</v>
      </c>
      <c r="M176" s="4" t="s">
        <v>1428</v>
      </c>
      <c r="N176" s="6">
        <v>39527.0</v>
      </c>
      <c r="O176" s="4" t="s">
        <v>148</v>
      </c>
      <c r="P176" s="4" t="s">
        <v>1429</v>
      </c>
      <c r="Q176" s="4" t="s">
        <v>37</v>
      </c>
      <c r="R176" s="4" t="s">
        <v>1430</v>
      </c>
      <c r="S176" s="4" t="s">
        <v>1430</v>
      </c>
      <c r="T176" s="4" t="s">
        <v>197</v>
      </c>
      <c r="U176" s="4" t="s">
        <v>79</v>
      </c>
      <c r="V176" s="4" t="s">
        <v>72</v>
      </c>
      <c r="W176" s="4" t="s">
        <v>202</v>
      </c>
      <c r="X176" s="4" t="s">
        <v>587</v>
      </c>
      <c r="Y176" s="4" t="s">
        <v>1426</v>
      </c>
    </row>
    <row r="177" ht="22.5" customHeight="1">
      <c r="A177" s="3">
        <v>46194.80779543982</v>
      </c>
      <c r="B177" s="4">
        <v>2.0</v>
      </c>
      <c r="C177" s="5" t="str">
        <f>IFERROR(__xludf.DUMMYFUNCTION("""COMPUTED_VALUE"""),"S7")</f>
        <v>S7</v>
      </c>
      <c r="D177" s="4" t="s">
        <v>450</v>
      </c>
      <c r="E177" s="4" t="s">
        <v>451</v>
      </c>
      <c r="F177" s="4" t="s">
        <v>29</v>
      </c>
      <c r="G177" s="4" t="s">
        <v>1431</v>
      </c>
      <c r="H177" s="4" t="s">
        <v>1432</v>
      </c>
      <c r="I177" s="4" t="s">
        <v>451</v>
      </c>
      <c r="J177" s="4" t="s">
        <v>60</v>
      </c>
      <c r="K177" s="4" t="s">
        <v>1433</v>
      </c>
      <c r="L177" s="6">
        <v>48301.0</v>
      </c>
      <c r="M177" s="4" t="s">
        <v>1434</v>
      </c>
      <c r="N177" s="6">
        <v>35235.0</v>
      </c>
      <c r="O177" s="4" t="s">
        <v>148</v>
      </c>
      <c r="P177" s="4" t="s">
        <v>1435</v>
      </c>
      <c r="Q177" s="4" t="s">
        <v>37</v>
      </c>
      <c r="R177" s="7" t="s">
        <v>456</v>
      </c>
      <c r="S177" s="7" t="s">
        <v>456</v>
      </c>
      <c r="T177" s="4" t="s">
        <v>451</v>
      </c>
      <c r="U177" s="4" t="s">
        <v>65</v>
      </c>
      <c r="V177" s="4" t="s">
        <v>48</v>
      </c>
      <c r="W177" s="4" t="s">
        <v>457</v>
      </c>
      <c r="X177" s="4" t="s">
        <v>987</v>
      </c>
      <c r="Y177" s="7" t="s">
        <v>458</v>
      </c>
      <c r="Z177" s="4" t="s">
        <v>459</v>
      </c>
      <c r="AA177" s="4" t="s">
        <v>451</v>
      </c>
      <c r="AB177" s="8"/>
    </row>
    <row r="178" ht="22.5" customHeight="1">
      <c r="A178" s="3">
        <v>46194.84132590277</v>
      </c>
      <c r="B178" s="4">
        <v>1.0</v>
      </c>
      <c r="C178" s="5" t="str">
        <f>IFERROR(__xludf.DUMMYFUNCTION("""COMPUTED_VALUE"""),"L42")</f>
        <v>L42</v>
      </c>
      <c r="D178" s="4">
        <v>4.230136059967E12</v>
      </c>
      <c r="E178" s="4" t="s">
        <v>517</v>
      </c>
      <c r="F178" s="4" t="s">
        <v>45</v>
      </c>
      <c r="G178" s="4" t="s">
        <v>1436</v>
      </c>
      <c r="H178" s="4" t="s">
        <v>517</v>
      </c>
      <c r="I178" s="4" t="s">
        <v>1437</v>
      </c>
      <c r="J178" s="4" t="s">
        <v>33</v>
      </c>
      <c r="M178" s="4">
        <v>4.230136059967E12</v>
      </c>
      <c r="N178" s="6">
        <v>21916.0</v>
      </c>
      <c r="O178" s="4" t="s">
        <v>177</v>
      </c>
      <c r="P178" s="4" t="s">
        <v>1438</v>
      </c>
      <c r="Q178" s="4" t="s">
        <v>133</v>
      </c>
      <c r="R178" s="7" t="s">
        <v>1439</v>
      </c>
      <c r="S178" s="7" t="s">
        <v>1439</v>
      </c>
      <c r="V178" s="4" t="s">
        <v>1440</v>
      </c>
      <c r="W178" s="4">
        <v>4.230181354619E12</v>
      </c>
      <c r="X178" s="4" t="s">
        <v>87</v>
      </c>
      <c r="Y178" s="7" t="s">
        <v>1441</v>
      </c>
    </row>
    <row r="179" ht="22.5" customHeight="1">
      <c r="A179" s="3">
        <v>46194.856659895835</v>
      </c>
      <c r="B179" s="4">
        <v>2.0</v>
      </c>
      <c r="C179" s="5" t="str">
        <f>IFERROR(__xludf.DUMMYFUNCTION("""COMPUTED_VALUE"""),"L43")</f>
        <v>L43</v>
      </c>
      <c r="D179" s="4">
        <v>4.230180462319E12</v>
      </c>
      <c r="E179" s="4" t="s">
        <v>517</v>
      </c>
      <c r="F179" s="4" t="s">
        <v>45</v>
      </c>
      <c r="G179" s="4" t="s">
        <v>516</v>
      </c>
      <c r="H179" s="4" t="s">
        <v>1442</v>
      </c>
      <c r="I179" s="4" t="s">
        <v>517</v>
      </c>
      <c r="J179" s="4" t="s">
        <v>60</v>
      </c>
      <c r="K179" s="4" t="s">
        <v>1443</v>
      </c>
      <c r="L179" s="6">
        <v>47175.0</v>
      </c>
      <c r="M179" s="4">
        <v>4.230179144406E12</v>
      </c>
      <c r="N179" s="6">
        <v>27994.0</v>
      </c>
      <c r="O179" s="4" t="s">
        <v>160</v>
      </c>
      <c r="P179" s="4" t="s">
        <v>1444</v>
      </c>
      <c r="Q179" s="4" t="s">
        <v>37</v>
      </c>
      <c r="R179" s="7" t="s">
        <v>1445</v>
      </c>
      <c r="S179" s="7" t="s">
        <v>1445</v>
      </c>
      <c r="T179" s="4" t="s">
        <v>517</v>
      </c>
      <c r="U179" s="4" t="s">
        <v>65</v>
      </c>
      <c r="V179" s="4" t="s">
        <v>1446</v>
      </c>
      <c r="W179" s="4">
        <v>4.230151297375E12</v>
      </c>
      <c r="X179" s="4" t="s">
        <v>925</v>
      </c>
      <c r="Y179" s="7" t="s">
        <v>1447</v>
      </c>
    </row>
    <row r="180" ht="22.5" customHeight="1">
      <c r="A180" s="3">
        <v>46194.859463217595</v>
      </c>
      <c r="B180" s="4">
        <v>5.0</v>
      </c>
      <c r="C180" s="5" t="str">
        <f>IFERROR(__xludf.DUMMYFUNCTION("""COMPUTED_VALUE"""),"L44")</f>
        <v>L44</v>
      </c>
      <c r="D180" s="4">
        <v>4.230110474869E12</v>
      </c>
      <c r="E180" s="4" t="s">
        <v>1448</v>
      </c>
      <c r="F180" s="4" t="s">
        <v>45</v>
      </c>
      <c r="G180" s="4" t="s">
        <v>818</v>
      </c>
      <c r="H180" s="4" t="s">
        <v>527</v>
      </c>
      <c r="I180" s="4" t="s">
        <v>1449</v>
      </c>
      <c r="J180" s="4" t="s">
        <v>33</v>
      </c>
      <c r="M180" s="4">
        <v>4.230110474869E12</v>
      </c>
      <c r="N180" s="6">
        <v>17899.0</v>
      </c>
      <c r="O180" s="4" t="s">
        <v>148</v>
      </c>
      <c r="P180" s="4" t="s">
        <v>1450</v>
      </c>
      <c r="Q180" s="4" t="s">
        <v>119</v>
      </c>
      <c r="R180" s="7" t="s">
        <v>1451</v>
      </c>
      <c r="S180" s="7" t="s">
        <v>1451</v>
      </c>
      <c r="V180" s="4" t="s">
        <v>1452</v>
      </c>
      <c r="W180" s="4">
        <v>4.230109276825E12</v>
      </c>
      <c r="X180" s="4" t="s">
        <v>1453</v>
      </c>
      <c r="Y180" s="7" t="s">
        <v>1451</v>
      </c>
      <c r="Z180" s="4" t="s">
        <v>1454</v>
      </c>
      <c r="AA180" s="4" t="s">
        <v>1455</v>
      </c>
      <c r="AB180" s="8"/>
    </row>
    <row r="181" ht="22.5" customHeight="1">
      <c r="A181" s="3">
        <v>46194.86588966435</v>
      </c>
      <c r="B181" s="4">
        <v>2.0</v>
      </c>
      <c r="C181" s="5" t="str">
        <f>IFERROR(__xludf.DUMMYFUNCTION("""COMPUTED_VALUE"""),"L43")</f>
        <v>L43</v>
      </c>
      <c r="D181" s="4">
        <v>4.230180462319E12</v>
      </c>
      <c r="E181" s="4" t="s">
        <v>517</v>
      </c>
      <c r="F181" s="4" t="s">
        <v>45</v>
      </c>
      <c r="G181" s="4" t="s">
        <v>516</v>
      </c>
      <c r="H181" s="4" t="s">
        <v>31</v>
      </c>
      <c r="I181" s="4" t="s">
        <v>1025</v>
      </c>
      <c r="J181" s="4" t="s">
        <v>33</v>
      </c>
      <c r="K181" s="4" t="s">
        <v>1456</v>
      </c>
      <c r="L181" s="6">
        <v>47196.0</v>
      </c>
      <c r="M181" s="4">
        <v>4.230180462319E12</v>
      </c>
      <c r="N181" s="6">
        <v>25583.0</v>
      </c>
      <c r="O181" s="4" t="s">
        <v>160</v>
      </c>
      <c r="P181" s="4" t="s">
        <v>1457</v>
      </c>
      <c r="Q181" s="4" t="s">
        <v>37</v>
      </c>
      <c r="R181" s="7" t="s">
        <v>1458</v>
      </c>
      <c r="S181" s="7" t="s">
        <v>1445</v>
      </c>
      <c r="V181" s="4" t="s">
        <v>1446</v>
      </c>
      <c r="W181" s="4">
        <v>4.230151297375E12</v>
      </c>
      <c r="X181" s="4" t="s">
        <v>87</v>
      </c>
      <c r="Y181" s="4" t="s">
        <v>1459</v>
      </c>
      <c r="Z181" s="4" t="s">
        <v>1460</v>
      </c>
      <c r="AA181" s="4" t="s">
        <v>517</v>
      </c>
      <c r="AB181" s="8"/>
    </row>
    <row r="182" ht="22.5" customHeight="1">
      <c r="A182" s="3">
        <v>46194.86619497685</v>
      </c>
      <c r="B182" s="4">
        <v>5.0</v>
      </c>
      <c r="C182" s="5" t="str">
        <f>IFERROR(__xludf.DUMMYFUNCTION("""COMPUTED_VALUE"""),"L44")</f>
        <v>L44</v>
      </c>
      <c r="D182" s="4">
        <v>4.230110474869E12</v>
      </c>
      <c r="E182" s="4" t="s">
        <v>527</v>
      </c>
      <c r="F182" s="4" t="s">
        <v>45</v>
      </c>
      <c r="G182" s="4" t="s">
        <v>1461</v>
      </c>
      <c r="H182" s="4" t="s">
        <v>1462</v>
      </c>
      <c r="I182" s="4" t="s">
        <v>1448</v>
      </c>
      <c r="J182" s="4" t="s">
        <v>60</v>
      </c>
      <c r="M182" s="4">
        <v>4.230107578136E12</v>
      </c>
      <c r="N182" s="6">
        <v>23012.0</v>
      </c>
      <c r="O182" s="4" t="s">
        <v>148</v>
      </c>
      <c r="P182" s="4" t="s">
        <v>1450</v>
      </c>
      <c r="Q182" s="4" t="s">
        <v>119</v>
      </c>
      <c r="R182" s="7" t="s">
        <v>1463</v>
      </c>
      <c r="S182" s="7" t="s">
        <v>1463</v>
      </c>
      <c r="T182" s="4" t="s">
        <v>1448</v>
      </c>
      <c r="U182" s="4" t="s">
        <v>65</v>
      </c>
      <c r="V182" s="4" t="s">
        <v>1452</v>
      </c>
      <c r="W182" s="4">
        <v>4.230109276825E12</v>
      </c>
      <c r="X182" s="4" t="s">
        <v>87</v>
      </c>
      <c r="Y182" s="7" t="s">
        <v>1463</v>
      </c>
      <c r="Z182" s="4" t="s">
        <v>1464</v>
      </c>
      <c r="AA182" s="4" t="s">
        <v>1452</v>
      </c>
      <c r="AB182" s="8"/>
    </row>
    <row r="183" ht="22.5" customHeight="1">
      <c r="A183" s="3">
        <v>46194.871711053245</v>
      </c>
      <c r="B183" s="4">
        <v>5.0</v>
      </c>
      <c r="C183" s="5" t="str">
        <f>IFERROR(__xludf.DUMMYFUNCTION("""COMPUTED_VALUE"""),"L44")</f>
        <v>L44</v>
      </c>
      <c r="D183" s="4">
        <v>4.230110474869E12</v>
      </c>
      <c r="E183" s="4" t="s">
        <v>527</v>
      </c>
      <c r="F183" s="4" t="s">
        <v>45</v>
      </c>
      <c r="G183" s="4" t="s">
        <v>245</v>
      </c>
      <c r="H183" s="4" t="s">
        <v>1452</v>
      </c>
      <c r="I183" s="4" t="s">
        <v>1448</v>
      </c>
      <c r="J183" s="4" t="s">
        <v>33</v>
      </c>
      <c r="M183" s="4">
        <v>4.230109276825E12</v>
      </c>
      <c r="N183" s="6">
        <v>29368.0</v>
      </c>
      <c r="O183" s="4" t="s">
        <v>148</v>
      </c>
      <c r="P183" s="4" t="s">
        <v>1450</v>
      </c>
      <c r="Q183" s="4" t="s">
        <v>119</v>
      </c>
      <c r="R183" s="7" t="s">
        <v>1463</v>
      </c>
      <c r="S183" s="7" t="s">
        <v>1463</v>
      </c>
      <c r="V183" s="4" t="s">
        <v>1448</v>
      </c>
      <c r="W183" s="4">
        <v>4.230110474869E12</v>
      </c>
      <c r="X183" s="4" t="s">
        <v>40</v>
      </c>
      <c r="Y183" s="7" t="s">
        <v>1463</v>
      </c>
      <c r="Z183" s="4" t="s">
        <v>1464</v>
      </c>
      <c r="AA183" s="4" t="s">
        <v>1452</v>
      </c>
      <c r="AB183" s="8"/>
    </row>
    <row r="184" ht="22.5" customHeight="1">
      <c r="A184" s="3">
        <v>46194.87331085648</v>
      </c>
      <c r="B184" s="4">
        <v>2.0</v>
      </c>
      <c r="C184" s="5" t="str">
        <f>IFERROR(__xludf.DUMMYFUNCTION("""COMPUTED_VALUE"""),"L45")</f>
        <v>L45</v>
      </c>
      <c r="D184" s="4" t="s">
        <v>1465</v>
      </c>
      <c r="E184" s="4" t="s">
        <v>1466</v>
      </c>
      <c r="F184" s="4" t="s">
        <v>45</v>
      </c>
      <c r="G184" s="4" t="s">
        <v>1466</v>
      </c>
      <c r="H184" s="4" t="s">
        <v>1466</v>
      </c>
      <c r="I184" s="4" t="s">
        <v>1467</v>
      </c>
      <c r="J184" s="4" t="s">
        <v>33</v>
      </c>
      <c r="K184" s="4" t="s">
        <v>1468</v>
      </c>
      <c r="L184" s="6">
        <v>47296.0</v>
      </c>
      <c r="M184" s="4" t="s">
        <v>1465</v>
      </c>
      <c r="N184" s="6">
        <v>35963.0</v>
      </c>
      <c r="O184" s="4" t="s">
        <v>1075</v>
      </c>
      <c r="P184" s="4" t="s">
        <v>1469</v>
      </c>
      <c r="Q184" s="4" t="s">
        <v>133</v>
      </c>
      <c r="R184" s="7" t="s">
        <v>1470</v>
      </c>
      <c r="S184" s="7" t="s">
        <v>1470</v>
      </c>
      <c r="T184" s="4" t="s">
        <v>1471</v>
      </c>
      <c r="U184" s="4" t="s">
        <v>1466</v>
      </c>
      <c r="V184" s="4" t="s">
        <v>1466</v>
      </c>
      <c r="W184" s="4" t="s">
        <v>1472</v>
      </c>
      <c r="X184" s="4" t="s">
        <v>1466</v>
      </c>
      <c r="Y184" s="7" t="s">
        <v>1470</v>
      </c>
    </row>
    <row r="185" ht="22.5" customHeight="1">
      <c r="A185" s="3">
        <v>46194.87333447917</v>
      </c>
      <c r="B185" s="4">
        <v>3.0</v>
      </c>
      <c r="C185" s="5" t="str">
        <f>IFERROR(__xludf.DUMMYFUNCTION("""COMPUTED_VALUE"""),"L39")</f>
        <v>L39</v>
      </c>
      <c r="D185" s="4">
        <v>4.230192023413E12</v>
      </c>
      <c r="E185" s="4" t="s">
        <v>1287</v>
      </c>
      <c r="F185" s="4" t="s">
        <v>45</v>
      </c>
      <c r="G185" s="4" t="s">
        <v>1402</v>
      </c>
      <c r="H185" s="4" t="s">
        <v>1473</v>
      </c>
      <c r="I185" s="4" t="s">
        <v>48</v>
      </c>
      <c r="J185" s="4" t="s">
        <v>60</v>
      </c>
      <c r="M185" s="4">
        <v>4.230189415056E12</v>
      </c>
      <c r="N185" s="6">
        <v>20090.0</v>
      </c>
      <c r="O185" s="4" t="s">
        <v>177</v>
      </c>
      <c r="P185" s="4" t="s">
        <v>1474</v>
      </c>
      <c r="Q185" s="4" t="s">
        <v>52</v>
      </c>
      <c r="R185" s="7" t="s">
        <v>1291</v>
      </c>
      <c r="S185" s="7" t="s">
        <v>1291</v>
      </c>
      <c r="V185" s="4" t="s">
        <v>1287</v>
      </c>
      <c r="W185" s="4">
        <v>4.230192023413E12</v>
      </c>
      <c r="X185" s="4" t="s">
        <v>87</v>
      </c>
      <c r="Y185" s="7" t="s">
        <v>1291</v>
      </c>
      <c r="Z185" s="4" t="s">
        <v>1475</v>
      </c>
      <c r="AA185" s="4" t="s">
        <v>1287</v>
      </c>
      <c r="AB185" s="8"/>
    </row>
    <row r="186" ht="22.5" customHeight="1">
      <c r="A186" s="3">
        <v>46194.876266481486</v>
      </c>
      <c r="B186" s="4">
        <v>5.0</v>
      </c>
      <c r="C186" s="5" t="str">
        <f>IFERROR(__xludf.DUMMYFUNCTION("""COMPUTED_VALUE"""),"L44")</f>
        <v>L44</v>
      </c>
      <c r="D186" s="4">
        <v>4.230110474869E12</v>
      </c>
      <c r="E186" s="4" t="s">
        <v>1476</v>
      </c>
      <c r="F186" s="4" t="s">
        <v>45</v>
      </c>
      <c r="G186" s="4" t="s">
        <v>245</v>
      </c>
      <c r="H186" s="4" t="s">
        <v>1476</v>
      </c>
      <c r="I186" s="4" t="s">
        <v>1452</v>
      </c>
      <c r="J186" s="4" t="s">
        <v>33</v>
      </c>
      <c r="M186" s="4">
        <v>4.230110474869E12</v>
      </c>
      <c r="N186" s="6">
        <v>39412.0</v>
      </c>
      <c r="O186" s="4" t="s">
        <v>148</v>
      </c>
      <c r="P186" s="4" t="s">
        <v>1450</v>
      </c>
      <c r="Q186" s="4" t="s">
        <v>119</v>
      </c>
      <c r="R186" s="7" t="s">
        <v>1463</v>
      </c>
      <c r="S186" s="7" t="s">
        <v>1463</v>
      </c>
      <c r="V186" s="4" t="s">
        <v>1452</v>
      </c>
      <c r="W186" s="4">
        <v>4.230109276825E12</v>
      </c>
      <c r="X186" s="4" t="s">
        <v>40</v>
      </c>
      <c r="Y186" s="7" t="s">
        <v>1463</v>
      </c>
      <c r="Z186" s="4" t="s">
        <v>1464</v>
      </c>
      <c r="AA186" s="4" t="s">
        <v>1452</v>
      </c>
      <c r="AB186" s="8"/>
    </row>
    <row r="187" ht="22.5" customHeight="1">
      <c r="A187" s="3">
        <v>46194.87910402778</v>
      </c>
      <c r="B187" s="4">
        <v>2.0</v>
      </c>
      <c r="C187" s="5" t="str">
        <f>IFERROR(__xludf.DUMMYFUNCTION("""COMPUTED_VALUE"""),"L38")</f>
        <v>L38</v>
      </c>
      <c r="D187" s="4">
        <v>4.220186830349E12</v>
      </c>
      <c r="E187" s="4" t="s">
        <v>1477</v>
      </c>
      <c r="F187" s="4" t="s">
        <v>45</v>
      </c>
      <c r="G187" s="4" t="s">
        <v>1265</v>
      </c>
      <c r="H187" s="4" t="s">
        <v>1390</v>
      </c>
      <c r="I187" s="4" t="s">
        <v>1477</v>
      </c>
      <c r="J187" s="4" t="s">
        <v>60</v>
      </c>
      <c r="K187" s="4" t="s">
        <v>1478</v>
      </c>
      <c r="L187" s="6">
        <v>48800.0</v>
      </c>
      <c r="M187" s="4">
        <v>4.230160692352E12</v>
      </c>
      <c r="N187" s="6">
        <v>31931.0</v>
      </c>
      <c r="O187" s="4" t="s">
        <v>35</v>
      </c>
      <c r="P187" s="4" t="s">
        <v>1479</v>
      </c>
      <c r="Q187" s="4" t="s">
        <v>37</v>
      </c>
      <c r="R187" s="7" t="s">
        <v>1480</v>
      </c>
      <c r="S187" s="7" t="s">
        <v>1480</v>
      </c>
      <c r="T187" s="4" t="s">
        <v>1481</v>
      </c>
      <c r="U187" s="4" t="s">
        <v>193</v>
      </c>
      <c r="V187" s="4" t="s">
        <v>1482</v>
      </c>
      <c r="W187" s="4">
        <v>4.230115820832E12</v>
      </c>
      <c r="X187" s="4" t="s">
        <v>1483</v>
      </c>
      <c r="Y187" s="7" t="s">
        <v>1484</v>
      </c>
      <c r="Z187" s="4">
        <v>9.9160109550886E13</v>
      </c>
      <c r="AA187" s="4" t="s">
        <v>1485</v>
      </c>
      <c r="AB187" s="8"/>
    </row>
    <row r="188" ht="22.5" customHeight="1">
      <c r="A188" s="3">
        <v>46194.88027516204</v>
      </c>
      <c r="B188" s="4">
        <v>2.0</v>
      </c>
      <c r="C188" s="5" t="str">
        <f>IFERROR(__xludf.DUMMYFUNCTION("""COMPUTED_VALUE"""),"L45")</f>
        <v>L45</v>
      </c>
      <c r="D188" s="4" t="s">
        <v>1465</v>
      </c>
      <c r="E188" s="4" t="s">
        <v>1466</v>
      </c>
      <c r="F188" s="4" t="s">
        <v>45</v>
      </c>
      <c r="G188" s="4" t="s">
        <v>1466</v>
      </c>
      <c r="H188" s="4" t="s">
        <v>1471</v>
      </c>
      <c r="I188" s="4" t="s">
        <v>1466</v>
      </c>
      <c r="J188" s="4" t="s">
        <v>60</v>
      </c>
      <c r="K188" s="4" t="s">
        <v>1486</v>
      </c>
      <c r="L188" s="6">
        <v>47180.0</v>
      </c>
      <c r="M188" s="4" t="s">
        <v>1487</v>
      </c>
      <c r="N188" s="6">
        <v>35653.0</v>
      </c>
      <c r="O188" s="4" t="s">
        <v>35</v>
      </c>
      <c r="P188" s="4" t="s">
        <v>1488</v>
      </c>
      <c r="Q188" s="4" t="s">
        <v>37</v>
      </c>
      <c r="R188" s="7" t="s">
        <v>1489</v>
      </c>
      <c r="S188" s="7" t="s">
        <v>1489</v>
      </c>
      <c r="T188" s="4" t="s">
        <v>1466</v>
      </c>
      <c r="U188" s="4" t="s">
        <v>193</v>
      </c>
      <c r="V188" s="4" t="s">
        <v>1466</v>
      </c>
      <c r="W188" s="4" t="s">
        <v>1465</v>
      </c>
      <c r="X188" s="4" t="s">
        <v>1466</v>
      </c>
      <c r="Y188" s="7" t="s">
        <v>1470</v>
      </c>
    </row>
    <row r="189" ht="22.5" customHeight="1">
      <c r="A189" s="3">
        <v>46194.88542530093</v>
      </c>
      <c r="B189" s="4">
        <v>5.0</v>
      </c>
      <c r="C189" s="5" t="str">
        <f>IFERROR(__xludf.DUMMYFUNCTION("""COMPUTED_VALUE"""),"L44")</f>
        <v>L44</v>
      </c>
      <c r="D189" s="4">
        <v>4.230110474869E12</v>
      </c>
      <c r="E189" s="4" t="s">
        <v>527</v>
      </c>
      <c r="F189" s="4" t="s">
        <v>45</v>
      </c>
      <c r="G189" s="4" t="s">
        <v>245</v>
      </c>
      <c r="H189" s="4" t="s">
        <v>1490</v>
      </c>
      <c r="I189" s="4" t="s">
        <v>1448</v>
      </c>
      <c r="J189" s="4" t="s">
        <v>33</v>
      </c>
      <c r="M189" s="4">
        <v>4.230109276851E12</v>
      </c>
      <c r="N189" s="6">
        <v>29952.0</v>
      </c>
      <c r="O189" s="4" t="s">
        <v>148</v>
      </c>
      <c r="P189" s="4" t="s">
        <v>1450</v>
      </c>
      <c r="Q189" s="4" t="s">
        <v>119</v>
      </c>
      <c r="R189" s="7" t="s">
        <v>1463</v>
      </c>
      <c r="S189" s="7" t="s">
        <v>1463</v>
      </c>
      <c r="V189" s="4" t="s">
        <v>1452</v>
      </c>
      <c r="W189" s="4">
        <v>4.230109276825E12</v>
      </c>
      <c r="X189" s="4" t="s">
        <v>79</v>
      </c>
      <c r="Y189" s="7" t="s">
        <v>1463</v>
      </c>
      <c r="Z189" s="4" t="s">
        <v>1464</v>
      </c>
      <c r="AA189" s="4" t="s">
        <v>1452</v>
      </c>
      <c r="AB189" s="8"/>
    </row>
    <row r="190" ht="22.5" customHeight="1">
      <c r="A190" s="3">
        <v>46194.92742777777</v>
      </c>
      <c r="B190" s="4">
        <v>6.0</v>
      </c>
      <c r="C190" s="5" t="str">
        <f>IFERROR(__xludf.DUMMYFUNCTION("""COMPUTED_VALUE"""),"L46")</f>
        <v>L46</v>
      </c>
      <c r="D190" s="4">
        <v>4.240142361171E12</v>
      </c>
      <c r="E190" s="4" t="s">
        <v>1491</v>
      </c>
      <c r="F190" s="4" t="s">
        <v>45</v>
      </c>
      <c r="G190" s="4" t="s">
        <v>1466</v>
      </c>
      <c r="H190" s="4" t="s">
        <v>31</v>
      </c>
      <c r="I190" s="4" t="s">
        <v>83</v>
      </c>
      <c r="J190" s="4" t="s">
        <v>33</v>
      </c>
      <c r="K190" s="4" t="s">
        <v>1492</v>
      </c>
      <c r="L190" s="6">
        <v>46698.0</v>
      </c>
      <c r="M190" s="4">
        <v>4.240142361171E12</v>
      </c>
      <c r="N190" s="6">
        <v>31602.0</v>
      </c>
      <c r="O190" s="4" t="s">
        <v>1493</v>
      </c>
      <c r="P190" s="4" t="s">
        <v>1494</v>
      </c>
      <c r="Q190" s="4" t="s">
        <v>37</v>
      </c>
      <c r="R190" s="7" t="s">
        <v>1495</v>
      </c>
      <c r="S190" s="7" t="s">
        <v>1495</v>
      </c>
      <c r="V190" s="4" t="s">
        <v>1496</v>
      </c>
      <c r="W190" s="4">
        <v>4.240137319961E12</v>
      </c>
      <c r="X190" s="4" t="s">
        <v>1169</v>
      </c>
      <c r="Y190" s="7" t="s">
        <v>1497</v>
      </c>
      <c r="Z190" s="4" t="s">
        <v>1498</v>
      </c>
      <c r="AA190" s="4" t="s">
        <v>1491</v>
      </c>
      <c r="AB190" s="8"/>
    </row>
    <row r="191" ht="22.5" customHeight="1">
      <c r="A191" s="3">
        <v>46194.929983368056</v>
      </c>
      <c r="B191" s="4">
        <v>5.0</v>
      </c>
      <c r="C191" s="5" t="str">
        <f>IFERROR(__xludf.DUMMYFUNCTION("""COMPUTED_VALUE"""),"S37")</f>
        <v>S37</v>
      </c>
      <c r="D191" s="4">
        <v>4.240120139715E12</v>
      </c>
      <c r="E191" s="4" t="s">
        <v>1499</v>
      </c>
      <c r="F191" s="4" t="s">
        <v>29</v>
      </c>
      <c r="G191" s="4" t="s">
        <v>1500</v>
      </c>
      <c r="H191" s="4" t="s">
        <v>31</v>
      </c>
      <c r="I191" s="4" t="s">
        <v>1501</v>
      </c>
      <c r="J191" s="4" t="s">
        <v>33</v>
      </c>
      <c r="K191" s="4" t="s">
        <v>1502</v>
      </c>
      <c r="L191" s="6">
        <v>47925.0</v>
      </c>
      <c r="M191" s="4">
        <v>4.240120139715E12</v>
      </c>
      <c r="N191" s="6">
        <v>29587.0</v>
      </c>
      <c r="O191" s="4" t="s">
        <v>148</v>
      </c>
      <c r="P191" s="4" t="s">
        <v>1503</v>
      </c>
      <c r="Q191" s="4" t="s">
        <v>133</v>
      </c>
      <c r="R191" s="4" t="s">
        <v>1504</v>
      </c>
      <c r="S191" s="4" t="s">
        <v>1505</v>
      </c>
      <c r="T191" s="4" t="s">
        <v>1506</v>
      </c>
      <c r="U191" s="4" t="s">
        <v>65</v>
      </c>
      <c r="V191" s="4" t="s">
        <v>1507</v>
      </c>
      <c r="W191" s="4">
        <v>4.240134229257E12</v>
      </c>
      <c r="X191" s="4" t="s">
        <v>79</v>
      </c>
      <c r="Y191" s="4" t="s">
        <v>1508</v>
      </c>
      <c r="Z191" s="4" t="s">
        <v>1509</v>
      </c>
      <c r="AA191" s="4" t="s">
        <v>1510</v>
      </c>
      <c r="AB191" s="8"/>
    </row>
    <row r="192" ht="22.5" customHeight="1">
      <c r="A192" s="3">
        <v>46194.93528395833</v>
      </c>
      <c r="B192" s="4">
        <v>6.0</v>
      </c>
      <c r="C192" s="5" t="str">
        <f>IFERROR(__xludf.DUMMYFUNCTION("""COMPUTED_VALUE"""),"L46")</f>
        <v>L46</v>
      </c>
      <c r="D192" s="4">
        <v>4.240142361171E12</v>
      </c>
      <c r="E192" s="4" t="s">
        <v>1491</v>
      </c>
      <c r="F192" s="4" t="s">
        <v>45</v>
      </c>
      <c r="G192" s="4" t="s">
        <v>1511</v>
      </c>
      <c r="H192" s="4" t="s">
        <v>1512</v>
      </c>
      <c r="I192" s="4" t="s">
        <v>1491</v>
      </c>
      <c r="J192" s="4" t="s">
        <v>60</v>
      </c>
      <c r="K192" s="4" t="s">
        <v>1513</v>
      </c>
      <c r="L192" s="6">
        <v>46698.0</v>
      </c>
      <c r="M192" s="4">
        <v>4.220176653166E12</v>
      </c>
      <c r="N192" s="6">
        <v>33108.0</v>
      </c>
      <c r="O192" s="4" t="s">
        <v>1493</v>
      </c>
      <c r="P192" s="4" t="s">
        <v>1494</v>
      </c>
      <c r="Q192" s="4" t="s">
        <v>52</v>
      </c>
      <c r="R192" s="7" t="s">
        <v>1514</v>
      </c>
      <c r="S192" s="7" t="s">
        <v>1514</v>
      </c>
      <c r="T192" s="4" t="s">
        <v>1491</v>
      </c>
      <c r="U192" s="4" t="s">
        <v>65</v>
      </c>
      <c r="V192" s="4" t="s">
        <v>1515</v>
      </c>
      <c r="W192" s="4">
        <v>4.220105952015E12</v>
      </c>
      <c r="X192" s="4" t="s">
        <v>1169</v>
      </c>
      <c r="Y192" s="7" t="s">
        <v>1516</v>
      </c>
      <c r="Z192" s="4" t="s">
        <v>1517</v>
      </c>
      <c r="AA192" s="4" t="s">
        <v>1518</v>
      </c>
      <c r="AB192" s="8"/>
    </row>
    <row r="193" ht="22.5" customHeight="1">
      <c r="A193" s="3">
        <v>46194.93793356481</v>
      </c>
      <c r="B193" s="4">
        <v>4.0</v>
      </c>
      <c r="C193" s="5" t="str">
        <f>IFERROR(__xludf.DUMMYFUNCTION("""COMPUTED_VALUE"""),"S37")</f>
        <v>S37</v>
      </c>
      <c r="D193" s="4">
        <v>4.240120139715E12</v>
      </c>
      <c r="E193" s="4" t="s">
        <v>1519</v>
      </c>
      <c r="F193" s="4" t="s">
        <v>29</v>
      </c>
      <c r="G193" s="4" t="s">
        <v>1500</v>
      </c>
      <c r="H193" s="4" t="s">
        <v>31</v>
      </c>
      <c r="I193" s="4" t="s">
        <v>1520</v>
      </c>
      <c r="J193" s="4" t="s">
        <v>33</v>
      </c>
      <c r="K193" s="4" t="s">
        <v>1521</v>
      </c>
      <c r="L193" s="6">
        <v>47925.0</v>
      </c>
      <c r="M193" s="4">
        <v>4.240120139715E12</v>
      </c>
      <c r="N193" s="6">
        <v>29587.0</v>
      </c>
      <c r="O193" s="4" t="s">
        <v>160</v>
      </c>
      <c r="P193" s="4" t="s">
        <v>1522</v>
      </c>
      <c r="Q193" s="4" t="s">
        <v>133</v>
      </c>
      <c r="R193" s="7" t="s">
        <v>1523</v>
      </c>
      <c r="S193" s="7" t="s">
        <v>1523</v>
      </c>
      <c r="V193" s="4" t="s">
        <v>1524</v>
      </c>
      <c r="W193" s="4">
        <v>4.240134229257E12</v>
      </c>
      <c r="X193" s="4" t="s">
        <v>79</v>
      </c>
      <c r="Y193" s="7" t="s">
        <v>1523</v>
      </c>
      <c r="Z193" s="4" t="s">
        <v>1525</v>
      </c>
      <c r="AA193" s="4" t="s">
        <v>1526</v>
      </c>
      <c r="AB193" s="8"/>
    </row>
    <row r="194" ht="22.5" customHeight="1">
      <c r="A194" s="3">
        <v>46194.940968310184</v>
      </c>
      <c r="B194" s="4">
        <v>6.0</v>
      </c>
      <c r="C194" s="5" t="str">
        <f>IFERROR(__xludf.DUMMYFUNCTION("""COMPUTED_VALUE"""),"L46")</f>
        <v>L46</v>
      </c>
      <c r="D194" s="4">
        <v>4.240142361171E12</v>
      </c>
      <c r="E194" s="4" t="s">
        <v>1527</v>
      </c>
      <c r="F194" s="4" t="s">
        <v>45</v>
      </c>
      <c r="G194" s="4" t="s">
        <v>1528</v>
      </c>
      <c r="H194" s="4" t="s">
        <v>1529</v>
      </c>
      <c r="I194" s="4" t="s">
        <v>1530</v>
      </c>
      <c r="J194" s="4" t="s">
        <v>60</v>
      </c>
      <c r="K194" s="4" t="s">
        <v>1531</v>
      </c>
      <c r="L194" s="6">
        <v>46698.0</v>
      </c>
      <c r="M194" s="4">
        <v>4.240116379654E12</v>
      </c>
      <c r="N194" s="6">
        <v>24108.0</v>
      </c>
      <c r="O194" s="4" t="s">
        <v>148</v>
      </c>
      <c r="P194" s="4" t="s">
        <v>1494</v>
      </c>
      <c r="Q194" s="4" t="s">
        <v>37</v>
      </c>
      <c r="R194" s="7" t="s">
        <v>1495</v>
      </c>
      <c r="S194" s="7" t="s">
        <v>1495</v>
      </c>
      <c r="T194" s="4" t="s">
        <v>1532</v>
      </c>
      <c r="U194" s="4" t="s">
        <v>1533</v>
      </c>
      <c r="V194" s="4" t="s">
        <v>1532</v>
      </c>
      <c r="W194" s="4">
        <v>4.240137319961E12</v>
      </c>
      <c r="X194" s="4" t="s">
        <v>1533</v>
      </c>
      <c r="Y194" s="7" t="s">
        <v>1497</v>
      </c>
      <c r="Z194" s="4" t="s">
        <v>1534</v>
      </c>
      <c r="AA194" s="4" t="s">
        <v>1535</v>
      </c>
      <c r="AB194" s="8"/>
    </row>
    <row r="195" ht="22.5" customHeight="1">
      <c r="A195" s="3">
        <v>46194.9443634375</v>
      </c>
      <c r="B195" s="4">
        <v>4.0</v>
      </c>
      <c r="C195" s="5" t="str">
        <f>IFERROR(__xludf.DUMMYFUNCTION("""COMPUTED_VALUE"""),"S38")</f>
        <v>S38</v>
      </c>
      <c r="D195" s="4">
        <v>4.240130158019E12</v>
      </c>
      <c r="E195" s="4" t="s">
        <v>492</v>
      </c>
      <c r="F195" s="4" t="s">
        <v>29</v>
      </c>
      <c r="G195" s="4" t="s">
        <v>554</v>
      </c>
      <c r="H195" s="4" t="s">
        <v>491</v>
      </c>
      <c r="I195" s="4" t="s">
        <v>1520</v>
      </c>
      <c r="J195" s="4" t="s">
        <v>33</v>
      </c>
      <c r="K195" s="4" t="s">
        <v>1536</v>
      </c>
      <c r="L195" s="6">
        <v>47042.0</v>
      </c>
      <c r="M195" s="4">
        <v>4.240130158019E12</v>
      </c>
      <c r="N195" s="6">
        <v>33239.0</v>
      </c>
      <c r="O195" s="4" t="s">
        <v>160</v>
      </c>
      <c r="P195" s="4" t="s">
        <v>1537</v>
      </c>
      <c r="Q195" s="4" t="s">
        <v>431</v>
      </c>
      <c r="R195" s="7" t="s">
        <v>1538</v>
      </c>
      <c r="S195" s="7" t="s">
        <v>1538</v>
      </c>
      <c r="V195" s="4" t="s">
        <v>1524</v>
      </c>
      <c r="W195" s="4">
        <v>4.240134229257E12</v>
      </c>
      <c r="X195" s="4" t="s">
        <v>79</v>
      </c>
      <c r="Y195" s="7" t="s">
        <v>1523</v>
      </c>
      <c r="Z195" s="4" t="s">
        <v>1525</v>
      </c>
      <c r="AA195" s="4" t="s">
        <v>1526</v>
      </c>
      <c r="AB195" s="8"/>
    </row>
    <row r="196" ht="22.5" customHeight="1">
      <c r="A196" s="3">
        <v>46194.94470116898</v>
      </c>
      <c r="B196" s="4">
        <v>3.0</v>
      </c>
      <c r="C196" s="5" t="str">
        <f>IFERROR(__xludf.DUMMYFUNCTION("""COMPUTED_VALUE"""),"L47")</f>
        <v>L47</v>
      </c>
      <c r="D196" s="4">
        <v>4.230107299743E12</v>
      </c>
      <c r="E196" s="4" t="s">
        <v>581</v>
      </c>
      <c r="F196" s="4" t="s">
        <v>45</v>
      </c>
      <c r="G196" s="4" t="s">
        <v>1539</v>
      </c>
      <c r="H196" s="4" t="s">
        <v>581</v>
      </c>
      <c r="I196" s="4" t="s">
        <v>1540</v>
      </c>
      <c r="J196" s="4" t="s">
        <v>33</v>
      </c>
      <c r="K196" s="4" t="s">
        <v>1541</v>
      </c>
      <c r="L196" s="6">
        <v>48911.0</v>
      </c>
      <c r="M196" s="4">
        <v>4.230107299743E12</v>
      </c>
      <c r="N196" s="6">
        <v>22057.0</v>
      </c>
      <c r="O196" s="4" t="s">
        <v>148</v>
      </c>
      <c r="P196" s="4" t="s">
        <v>1542</v>
      </c>
      <c r="Q196" s="4" t="s">
        <v>37</v>
      </c>
      <c r="R196" s="7" t="s">
        <v>1543</v>
      </c>
      <c r="S196" s="7" t="s">
        <v>1543</v>
      </c>
      <c r="V196" s="4" t="s">
        <v>1544</v>
      </c>
      <c r="W196" s="4">
        <v>4.230160136713E12</v>
      </c>
      <c r="X196" s="4" t="s">
        <v>87</v>
      </c>
      <c r="Y196" s="7" t="s">
        <v>1545</v>
      </c>
    </row>
    <row r="197" ht="22.5" customHeight="1">
      <c r="A197" s="3">
        <v>46194.94687547453</v>
      </c>
      <c r="B197" s="4">
        <v>4.0</v>
      </c>
      <c r="C197" s="5" t="str">
        <f>IFERROR(__xludf.DUMMYFUNCTION("""COMPUTED_VALUE"""),"S39")</f>
        <v>S39</v>
      </c>
      <c r="D197" s="4">
        <v>4.230186264123E12</v>
      </c>
      <c r="E197" s="4" t="s">
        <v>1546</v>
      </c>
      <c r="F197" s="4" t="s">
        <v>29</v>
      </c>
      <c r="G197" s="4" t="s">
        <v>302</v>
      </c>
      <c r="H197" s="4" t="s">
        <v>1547</v>
      </c>
      <c r="I197" s="4" t="s">
        <v>1548</v>
      </c>
      <c r="J197" s="4" t="s">
        <v>60</v>
      </c>
      <c r="M197" s="4" t="s">
        <v>1549</v>
      </c>
      <c r="N197" s="6">
        <v>31090.0</v>
      </c>
      <c r="O197" s="4" t="s">
        <v>1386</v>
      </c>
      <c r="P197" s="4" t="s">
        <v>1550</v>
      </c>
      <c r="Q197" s="4" t="s">
        <v>133</v>
      </c>
      <c r="R197" s="7" t="s">
        <v>1551</v>
      </c>
      <c r="S197" s="7" t="s">
        <v>1551</v>
      </c>
      <c r="T197" s="4" t="s">
        <v>1546</v>
      </c>
      <c r="U197" s="4" t="s">
        <v>310</v>
      </c>
      <c r="V197" s="4" t="s">
        <v>1552</v>
      </c>
      <c r="W197" s="4" t="s">
        <v>1553</v>
      </c>
      <c r="X197" s="4" t="s">
        <v>87</v>
      </c>
      <c r="Y197" s="7" t="s">
        <v>1554</v>
      </c>
      <c r="Z197" s="4" t="s">
        <v>1555</v>
      </c>
      <c r="AA197" s="4" t="s">
        <v>1556</v>
      </c>
      <c r="AB197" s="8"/>
    </row>
    <row r="198" ht="22.5" customHeight="1">
      <c r="A198" s="3">
        <v>46194.94970878473</v>
      </c>
      <c r="B198" s="4">
        <v>4.0</v>
      </c>
      <c r="C198" s="5" t="str">
        <f>IFERROR(__xludf.DUMMYFUNCTION("""COMPUTED_VALUE"""),"S38")</f>
        <v>S38</v>
      </c>
      <c r="D198" s="4">
        <v>4.240130158019E12</v>
      </c>
      <c r="E198" s="4" t="s">
        <v>492</v>
      </c>
      <c r="F198" s="4" t="s">
        <v>29</v>
      </c>
      <c r="G198" s="4" t="s">
        <v>554</v>
      </c>
      <c r="H198" s="4" t="s">
        <v>491</v>
      </c>
      <c r="I198" s="4" t="s">
        <v>1520</v>
      </c>
      <c r="J198" s="4" t="s">
        <v>60</v>
      </c>
      <c r="K198" s="4" t="s">
        <v>1557</v>
      </c>
      <c r="L198" s="6">
        <v>47042.0</v>
      </c>
      <c r="M198" s="4">
        <v>4.240106192622E12</v>
      </c>
      <c r="N198" s="6">
        <v>35796.0</v>
      </c>
      <c r="O198" s="4" t="s">
        <v>148</v>
      </c>
      <c r="P198" s="4" t="s">
        <v>1537</v>
      </c>
      <c r="Q198" s="4" t="s">
        <v>431</v>
      </c>
      <c r="R198" s="7" t="s">
        <v>1538</v>
      </c>
      <c r="S198" s="7" t="s">
        <v>1538</v>
      </c>
      <c r="T198" s="4" t="s">
        <v>492</v>
      </c>
      <c r="U198" s="4" t="s">
        <v>1558</v>
      </c>
      <c r="V198" s="4" t="s">
        <v>1524</v>
      </c>
      <c r="W198" s="4">
        <v>4.240134229257E12</v>
      </c>
      <c r="X198" s="4" t="s">
        <v>310</v>
      </c>
      <c r="Y198" s="7" t="s">
        <v>1523</v>
      </c>
      <c r="Z198" s="4" t="s">
        <v>1559</v>
      </c>
      <c r="AA198" s="4" t="s">
        <v>1526</v>
      </c>
      <c r="AB198" s="8"/>
    </row>
    <row r="199" ht="22.5" customHeight="1">
      <c r="A199" s="3">
        <v>46194.95285048611</v>
      </c>
      <c r="B199" s="4">
        <v>3.0</v>
      </c>
      <c r="C199" s="5" t="str">
        <f>IFERROR(__xludf.DUMMYFUNCTION("""COMPUTED_VALUE"""),"L47")</f>
        <v>L47</v>
      </c>
      <c r="D199" s="4">
        <v>4.230107299743E12</v>
      </c>
      <c r="E199" s="4" t="s">
        <v>581</v>
      </c>
      <c r="F199" s="4" t="s">
        <v>45</v>
      </c>
      <c r="G199" s="4" t="s">
        <v>581</v>
      </c>
      <c r="H199" s="4" t="s">
        <v>1560</v>
      </c>
      <c r="I199" s="4" t="s">
        <v>581</v>
      </c>
      <c r="J199" s="4" t="s">
        <v>60</v>
      </c>
      <c r="K199" s="4" t="s">
        <v>1561</v>
      </c>
      <c r="L199" s="6">
        <v>47475.0</v>
      </c>
      <c r="M199" s="4">
        <v>4.230116963396E12</v>
      </c>
      <c r="N199" s="6">
        <v>24473.0</v>
      </c>
      <c r="O199" s="4" t="s">
        <v>148</v>
      </c>
      <c r="P199" s="4" t="s">
        <v>1542</v>
      </c>
      <c r="Q199" s="4" t="s">
        <v>37</v>
      </c>
      <c r="R199" s="7" t="s">
        <v>1543</v>
      </c>
      <c r="S199" s="7" t="s">
        <v>1562</v>
      </c>
      <c r="T199" s="4" t="s">
        <v>581</v>
      </c>
      <c r="U199" s="4" t="s">
        <v>65</v>
      </c>
      <c r="V199" s="4" t="s">
        <v>1563</v>
      </c>
      <c r="W199" s="4">
        <v>4.230160136713E12</v>
      </c>
      <c r="X199" s="4" t="s">
        <v>87</v>
      </c>
      <c r="Y199" s="7" t="s">
        <v>1545</v>
      </c>
    </row>
    <row r="200" ht="22.5" customHeight="1">
      <c r="A200" s="3">
        <v>46194.95710784722</v>
      </c>
      <c r="B200" s="4">
        <v>1.0</v>
      </c>
      <c r="C200" s="5" t="str">
        <f>IFERROR(__xludf.DUMMYFUNCTION("""COMPUTED_VALUE"""),"S40")</f>
        <v>S40</v>
      </c>
      <c r="D200" s="4">
        <v>4.240134229257E12</v>
      </c>
      <c r="E200" s="4" t="s">
        <v>1507</v>
      </c>
      <c r="F200" s="4" t="s">
        <v>29</v>
      </c>
      <c r="G200" s="4" t="s">
        <v>1507</v>
      </c>
      <c r="H200" s="4" t="s">
        <v>1507</v>
      </c>
      <c r="I200" s="4" t="s">
        <v>1520</v>
      </c>
      <c r="J200" s="4" t="s">
        <v>33</v>
      </c>
      <c r="K200" s="4" t="s">
        <v>1564</v>
      </c>
      <c r="L200" s="6">
        <v>46685.0</v>
      </c>
      <c r="M200" s="4">
        <v>4.240134229257E12</v>
      </c>
      <c r="N200" s="6">
        <v>31558.0</v>
      </c>
      <c r="O200" s="4" t="s">
        <v>160</v>
      </c>
      <c r="P200" s="4" t="s">
        <v>1565</v>
      </c>
      <c r="Q200" s="4" t="s">
        <v>133</v>
      </c>
      <c r="R200" s="7" t="s">
        <v>1523</v>
      </c>
      <c r="S200" s="7" t="s">
        <v>1523</v>
      </c>
      <c r="V200" s="4" t="s">
        <v>1519</v>
      </c>
      <c r="W200" s="4">
        <v>4.240120139715E12</v>
      </c>
      <c r="X200" s="4" t="s">
        <v>79</v>
      </c>
      <c r="Y200" s="7" t="s">
        <v>1566</v>
      </c>
      <c r="Z200" s="4" t="s">
        <v>1567</v>
      </c>
      <c r="AA200" s="4" t="s">
        <v>1526</v>
      </c>
      <c r="AB200" s="8"/>
    </row>
    <row r="201" ht="22.5" customHeight="1">
      <c r="A201" s="3">
        <v>46194.95861834491</v>
      </c>
      <c r="B201" s="4" t="s">
        <v>1568</v>
      </c>
      <c r="C201" s="5" t="str">
        <f>IFERROR(__xludf.DUMMYFUNCTION("""COMPUTED_VALUE"""),"L48")</f>
        <v>L48</v>
      </c>
      <c r="D201" s="4">
        <v>4.230148456353E12</v>
      </c>
      <c r="E201" s="4" t="s">
        <v>324</v>
      </c>
      <c r="F201" s="4" t="s">
        <v>45</v>
      </c>
      <c r="G201" s="4" t="s">
        <v>1569</v>
      </c>
      <c r="H201" s="4" t="s">
        <v>291</v>
      </c>
      <c r="I201" s="4" t="s">
        <v>1570</v>
      </c>
      <c r="J201" s="4" t="s">
        <v>33</v>
      </c>
      <c r="K201" s="4" t="s">
        <v>1571</v>
      </c>
      <c r="M201" s="4">
        <v>4.230148456353E12</v>
      </c>
      <c r="N201" s="6">
        <v>37759.0</v>
      </c>
      <c r="O201" s="4" t="s">
        <v>148</v>
      </c>
      <c r="P201" s="4" t="s">
        <v>1572</v>
      </c>
      <c r="Q201" s="4" t="s">
        <v>133</v>
      </c>
      <c r="R201" s="7" t="s">
        <v>1573</v>
      </c>
      <c r="S201" s="7" t="s">
        <v>1573</v>
      </c>
      <c r="V201" s="4" t="s">
        <v>1574</v>
      </c>
      <c r="W201" s="4">
        <v>4.230109037869E12</v>
      </c>
      <c r="X201" s="4" t="s">
        <v>40</v>
      </c>
      <c r="Y201" s="7" t="s">
        <v>1575</v>
      </c>
      <c r="Z201" s="4" t="s">
        <v>1576</v>
      </c>
      <c r="AA201" s="4" t="s">
        <v>1577</v>
      </c>
      <c r="AB201" s="8"/>
    </row>
    <row r="202" ht="22.5" customHeight="1">
      <c r="A202" s="3">
        <v>46194.9618862037</v>
      </c>
      <c r="B202" s="4">
        <v>3.0</v>
      </c>
      <c r="C202" s="5" t="str">
        <f>IFERROR(__xludf.DUMMYFUNCTION("""COMPUTED_VALUE"""),"L47")</f>
        <v>L47</v>
      </c>
      <c r="D202" s="4">
        <v>4.230107299743E12</v>
      </c>
      <c r="E202" s="4" t="s">
        <v>1360</v>
      </c>
      <c r="F202" s="4" t="s">
        <v>45</v>
      </c>
      <c r="G202" s="4" t="s">
        <v>1578</v>
      </c>
      <c r="H202" s="4" t="s">
        <v>31</v>
      </c>
      <c r="I202" s="4" t="s">
        <v>1579</v>
      </c>
      <c r="J202" s="4" t="s">
        <v>33</v>
      </c>
      <c r="K202" s="4" t="s">
        <v>1580</v>
      </c>
      <c r="L202" s="6">
        <v>47273.0</v>
      </c>
      <c r="M202" s="4">
        <v>4.230160699705E12</v>
      </c>
      <c r="N202" s="6">
        <v>40984.0</v>
      </c>
      <c r="O202" s="4" t="s">
        <v>148</v>
      </c>
      <c r="P202" s="4" t="s">
        <v>1581</v>
      </c>
      <c r="Q202" s="4" t="s">
        <v>37</v>
      </c>
      <c r="R202" s="7" t="s">
        <v>1543</v>
      </c>
      <c r="S202" s="7" t="s">
        <v>1562</v>
      </c>
      <c r="V202" s="4" t="s">
        <v>1544</v>
      </c>
      <c r="W202" s="4">
        <v>4.230160136713E12</v>
      </c>
      <c r="X202" s="4" t="s">
        <v>1582</v>
      </c>
      <c r="Y202" s="7" t="s">
        <v>1545</v>
      </c>
    </row>
    <row r="203" ht="22.5" customHeight="1">
      <c r="A203" s="3">
        <v>46194.96549652777</v>
      </c>
      <c r="B203" s="4">
        <v>4.0</v>
      </c>
      <c r="C203" s="5" t="str">
        <f>IFERROR(__xludf.DUMMYFUNCTION("""COMPUTED_VALUE"""),"S39")</f>
        <v>S39</v>
      </c>
      <c r="D203" s="4">
        <v>4.230186264123E12</v>
      </c>
      <c r="E203" s="4" t="s">
        <v>1546</v>
      </c>
      <c r="F203" s="4" t="s">
        <v>29</v>
      </c>
      <c r="G203" s="4" t="s">
        <v>1583</v>
      </c>
      <c r="H203" s="4" t="s">
        <v>1584</v>
      </c>
      <c r="I203" s="4" t="s">
        <v>1585</v>
      </c>
      <c r="J203" s="4" t="s">
        <v>60</v>
      </c>
      <c r="M203" s="4">
        <v>4.2301081124968E13</v>
      </c>
      <c r="N203" s="6">
        <v>23743.0</v>
      </c>
      <c r="O203" s="4" t="s">
        <v>248</v>
      </c>
      <c r="P203" s="4" t="s">
        <v>1586</v>
      </c>
      <c r="Q203" s="4" t="s">
        <v>133</v>
      </c>
      <c r="R203" s="7" t="s">
        <v>1587</v>
      </c>
      <c r="S203" s="7" t="s">
        <v>1587</v>
      </c>
      <c r="T203" s="4" t="s">
        <v>1585</v>
      </c>
      <c r="U203" s="4" t="s">
        <v>270</v>
      </c>
      <c r="V203" s="4" t="s">
        <v>1588</v>
      </c>
      <c r="W203" s="4">
        <v>4.230186264123E12</v>
      </c>
      <c r="X203" s="4" t="s">
        <v>87</v>
      </c>
      <c r="Y203" s="7" t="s">
        <v>1589</v>
      </c>
      <c r="Z203" s="4" t="s">
        <v>1590</v>
      </c>
      <c r="AA203" s="4" t="s">
        <v>1584</v>
      </c>
      <c r="AB203" s="8"/>
    </row>
    <row r="204" ht="22.5" customHeight="1">
      <c r="A204" s="3">
        <v>46194.969173854166</v>
      </c>
      <c r="B204" s="4">
        <v>4.0</v>
      </c>
      <c r="C204" s="5" t="str">
        <f>IFERROR(__xludf.DUMMYFUNCTION("""COMPUTED_VALUE"""),"S41")</f>
        <v>S41</v>
      </c>
      <c r="D204" s="4" t="s">
        <v>1546</v>
      </c>
      <c r="E204" s="4">
        <v>4.230186264123E12</v>
      </c>
      <c r="F204" s="4" t="s">
        <v>29</v>
      </c>
      <c r="G204" s="4" t="s">
        <v>1119</v>
      </c>
      <c r="H204" s="4" t="s">
        <v>1591</v>
      </c>
      <c r="I204" s="4" t="s">
        <v>257</v>
      </c>
      <c r="J204" s="4" t="s">
        <v>33</v>
      </c>
      <c r="K204" s="4" t="s">
        <v>1592</v>
      </c>
      <c r="M204" s="4">
        <v>4.230186264123E12</v>
      </c>
      <c r="N204" s="6">
        <v>31721.0</v>
      </c>
      <c r="O204" s="4" t="s">
        <v>674</v>
      </c>
      <c r="P204" s="4" t="s">
        <v>1586</v>
      </c>
      <c r="Q204" s="4" t="s">
        <v>133</v>
      </c>
      <c r="R204" s="7" t="s">
        <v>1589</v>
      </c>
      <c r="S204" s="7" t="s">
        <v>1593</v>
      </c>
      <c r="V204" s="4" t="s">
        <v>1594</v>
      </c>
      <c r="W204" s="4">
        <v>4.23015508466E12</v>
      </c>
      <c r="X204" s="4" t="s">
        <v>587</v>
      </c>
      <c r="Y204" s="7" t="s">
        <v>1551</v>
      </c>
      <c r="Z204" s="4" t="s">
        <v>1595</v>
      </c>
      <c r="AA204" s="4" t="s">
        <v>1546</v>
      </c>
      <c r="AB204" s="8"/>
    </row>
    <row r="205" ht="22.5" customHeight="1">
      <c r="A205" s="3">
        <v>46194.97276107639</v>
      </c>
      <c r="B205" s="4">
        <v>4.0</v>
      </c>
      <c r="C205" s="5" t="str">
        <f>IFERROR(__xludf.DUMMYFUNCTION("""COMPUTED_VALUE"""),"S39")</f>
        <v>S39</v>
      </c>
      <c r="D205" s="4">
        <v>4.230186264123E12</v>
      </c>
      <c r="E205" s="4" t="s">
        <v>1588</v>
      </c>
      <c r="F205" s="4" t="s">
        <v>29</v>
      </c>
      <c r="G205" s="4" t="s">
        <v>1583</v>
      </c>
      <c r="H205" s="4" t="s">
        <v>313</v>
      </c>
      <c r="I205" s="4" t="s">
        <v>1596</v>
      </c>
      <c r="J205" s="4" t="s">
        <v>33</v>
      </c>
      <c r="M205" s="4">
        <v>4.230165044427E12</v>
      </c>
      <c r="N205" s="6">
        <v>20888.0</v>
      </c>
      <c r="O205" s="4" t="s">
        <v>1597</v>
      </c>
      <c r="P205" s="4" t="s">
        <v>1586</v>
      </c>
      <c r="Q205" s="4" t="s">
        <v>133</v>
      </c>
      <c r="R205" s="7" t="s">
        <v>1598</v>
      </c>
      <c r="S205" s="7" t="s">
        <v>1598</v>
      </c>
      <c r="V205" s="4" t="s">
        <v>1599</v>
      </c>
      <c r="W205" s="4">
        <v>4.230186264123E12</v>
      </c>
      <c r="X205" s="4" t="s">
        <v>87</v>
      </c>
      <c r="Y205" s="7" t="s">
        <v>1589</v>
      </c>
      <c r="Z205" s="4" t="s">
        <v>1600</v>
      </c>
      <c r="AA205" s="4" t="s">
        <v>1601</v>
      </c>
      <c r="AB205" s="8"/>
    </row>
    <row r="206" ht="22.5" customHeight="1">
      <c r="A206" s="3">
        <v>46194.98554207176</v>
      </c>
      <c r="B206" s="4">
        <v>2.0</v>
      </c>
      <c r="C206" s="5" t="str">
        <f>IFERROR(__xludf.DUMMYFUNCTION("""COMPUTED_VALUE"""),"S42")</f>
        <v>S42</v>
      </c>
      <c r="D206" s="4" t="s">
        <v>1602</v>
      </c>
      <c r="E206" s="4" t="s">
        <v>1603</v>
      </c>
      <c r="F206" s="4" t="s">
        <v>29</v>
      </c>
      <c r="G206" s="4" t="s">
        <v>734</v>
      </c>
      <c r="H206" s="4" t="s">
        <v>1604</v>
      </c>
      <c r="I206" s="4" t="s">
        <v>1605</v>
      </c>
      <c r="J206" s="4" t="s">
        <v>33</v>
      </c>
      <c r="K206" s="4" t="s">
        <v>1606</v>
      </c>
      <c r="L206" s="6">
        <v>48561.0</v>
      </c>
      <c r="M206" s="4" t="s">
        <v>1602</v>
      </c>
      <c r="N206" s="6">
        <v>28835.0</v>
      </c>
      <c r="O206" s="4" t="s">
        <v>429</v>
      </c>
      <c r="P206" s="4" t="s">
        <v>1607</v>
      </c>
      <c r="Q206" s="4" t="s">
        <v>119</v>
      </c>
      <c r="R206" s="7" t="s">
        <v>1608</v>
      </c>
      <c r="S206" s="7" t="s">
        <v>1608</v>
      </c>
      <c r="V206" s="4" t="s">
        <v>1609</v>
      </c>
      <c r="W206" s="4" t="s">
        <v>1610</v>
      </c>
      <c r="X206" s="4" t="s">
        <v>310</v>
      </c>
      <c r="Y206" s="7" t="s">
        <v>1611</v>
      </c>
      <c r="Z206" s="4" t="s">
        <v>1612</v>
      </c>
      <c r="AA206" s="4" t="s">
        <v>1613</v>
      </c>
      <c r="AB206" s="8"/>
    </row>
    <row r="207" ht="22.5" customHeight="1">
      <c r="A207" s="3">
        <v>46194.99190515046</v>
      </c>
      <c r="B207" s="4">
        <v>3.0</v>
      </c>
      <c r="C207" s="5" t="str">
        <f>IFERROR(__xludf.DUMMYFUNCTION("""COMPUTED_VALUE"""),"S42")</f>
        <v>S42</v>
      </c>
      <c r="D207" s="4" t="s">
        <v>1602</v>
      </c>
      <c r="E207" s="4" t="s">
        <v>1604</v>
      </c>
      <c r="F207" s="4" t="s">
        <v>29</v>
      </c>
      <c r="G207" s="4" t="s">
        <v>734</v>
      </c>
      <c r="H207" s="4" t="s">
        <v>1614</v>
      </c>
      <c r="I207" s="4" t="s">
        <v>1604</v>
      </c>
      <c r="J207" s="4" t="s">
        <v>60</v>
      </c>
      <c r="K207" s="4" t="s">
        <v>1615</v>
      </c>
      <c r="L207" s="6">
        <v>46819.0</v>
      </c>
      <c r="M207" s="4" t="s">
        <v>1616</v>
      </c>
      <c r="N207" s="6">
        <v>29823.0</v>
      </c>
      <c r="O207" s="4" t="s">
        <v>1617</v>
      </c>
      <c r="P207" s="4" t="s">
        <v>1618</v>
      </c>
      <c r="Q207" s="4" t="s">
        <v>119</v>
      </c>
      <c r="R207" s="7" t="s">
        <v>1619</v>
      </c>
      <c r="S207" s="7" t="s">
        <v>1619</v>
      </c>
      <c r="T207" s="4" t="s">
        <v>1603</v>
      </c>
      <c r="U207" s="4" t="s">
        <v>193</v>
      </c>
      <c r="V207" s="4" t="s">
        <v>1620</v>
      </c>
      <c r="W207" s="4" t="s">
        <v>1610</v>
      </c>
      <c r="X207" s="4" t="s">
        <v>1621</v>
      </c>
      <c r="Y207" s="7" t="s">
        <v>1611</v>
      </c>
      <c r="Z207" s="4" t="s">
        <v>1612</v>
      </c>
      <c r="AA207" s="4" t="s">
        <v>1622</v>
      </c>
      <c r="AB207" s="8"/>
    </row>
    <row r="208" ht="22.5" customHeight="1">
      <c r="A208" s="3">
        <v>46195.00315224537</v>
      </c>
      <c r="B208" s="4">
        <v>6.0</v>
      </c>
      <c r="C208" s="5" t="str">
        <f>IFERROR(__xludf.DUMMYFUNCTION("""COMPUTED_VALUE"""),"S43")</f>
        <v>S43</v>
      </c>
      <c r="D208" s="4">
        <v>4.230154778115E12</v>
      </c>
      <c r="E208" s="4" t="s">
        <v>55</v>
      </c>
      <c r="F208" s="4" t="s">
        <v>29</v>
      </c>
      <c r="G208" s="4" t="s">
        <v>55</v>
      </c>
      <c r="H208" s="4" t="s">
        <v>1623</v>
      </c>
      <c r="I208" s="4" t="s">
        <v>40</v>
      </c>
      <c r="J208" s="4" t="s">
        <v>60</v>
      </c>
      <c r="K208" s="4" t="s">
        <v>1624</v>
      </c>
      <c r="L208" s="6">
        <v>46649.0</v>
      </c>
      <c r="M208" s="4">
        <v>4.230128395946E12</v>
      </c>
      <c r="N208" s="6">
        <v>32370.0</v>
      </c>
      <c r="O208" s="4" t="s">
        <v>1625</v>
      </c>
      <c r="P208" s="4" t="s">
        <v>51</v>
      </c>
      <c r="Q208" s="4" t="s">
        <v>37</v>
      </c>
      <c r="R208" s="7" t="s">
        <v>1626</v>
      </c>
      <c r="S208" s="7" t="s">
        <v>1626</v>
      </c>
      <c r="T208" s="4" t="s">
        <v>55</v>
      </c>
      <c r="U208" s="4" t="s">
        <v>1627</v>
      </c>
      <c r="V208" s="4" t="s">
        <v>1628</v>
      </c>
      <c r="W208" s="4">
        <v>4.230196028359E12</v>
      </c>
      <c r="X208" s="4" t="s">
        <v>1629</v>
      </c>
      <c r="Y208" s="7" t="s">
        <v>1630</v>
      </c>
      <c r="Z208" s="4" t="s">
        <v>1631</v>
      </c>
      <c r="AA208" s="4" t="s">
        <v>1631</v>
      </c>
      <c r="AB208" s="8"/>
    </row>
    <row r="209" ht="22.5" customHeight="1">
      <c r="A209" s="3">
        <v>46195.00955560185</v>
      </c>
      <c r="B209" s="4">
        <v>6.0</v>
      </c>
      <c r="C209" s="5" t="str">
        <f>IFERROR(__xludf.DUMMYFUNCTION("""COMPUTED_VALUE"""),"S43")</f>
        <v>S43</v>
      </c>
      <c r="D209" s="4">
        <v>4.230154778115E12</v>
      </c>
      <c r="E209" s="4" t="s">
        <v>55</v>
      </c>
      <c r="F209" s="4" t="s">
        <v>29</v>
      </c>
      <c r="G209" s="4" t="s">
        <v>55</v>
      </c>
      <c r="H209" s="4" t="s">
        <v>1632</v>
      </c>
      <c r="I209" s="4" t="s">
        <v>1633</v>
      </c>
      <c r="J209" s="4" t="s">
        <v>33</v>
      </c>
      <c r="K209" s="4" t="s">
        <v>1634</v>
      </c>
      <c r="L209" s="6">
        <v>38924.0</v>
      </c>
      <c r="M209" s="4">
        <v>4.230192322735E12</v>
      </c>
      <c r="N209" s="6">
        <v>38924.0</v>
      </c>
      <c r="O209" s="4" t="s">
        <v>1635</v>
      </c>
      <c r="P209" s="4" t="s">
        <v>51</v>
      </c>
      <c r="Q209" s="4" t="s">
        <v>52</v>
      </c>
      <c r="R209" s="7" t="s">
        <v>1636</v>
      </c>
      <c r="S209" s="7" t="s">
        <v>1636</v>
      </c>
      <c r="V209" s="4" t="s">
        <v>1637</v>
      </c>
      <c r="W209" s="4">
        <v>4.230196028359E12</v>
      </c>
      <c r="X209" s="4" t="s">
        <v>1638</v>
      </c>
      <c r="Y209" s="7" t="s">
        <v>1630</v>
      </c>
      <c r="Z209" s="4" t="s">
        <v>57</v>
      </c>
      <c r="AA209" s="4" t="s">
        <v>57</v>
      </c>
      <c r="AB209" s="8"/>
    </row>
    <row r="210" ht="22.5" customHeight="1">
      <c r="A210" s="3">
        <v>46195.01157048611</v>
      </c>
      <c r="B210" s="4">
        <v>2.0</v>
      </c>
      <c r="C210" s="5" t="str">
        <f>IFERROR(__xludf.DUMMYFUNCTION("""COMPUTED_VALUE"""),"S44")</f>
        <v>S44</v>
      </c>
      <c r="D210" s="4" t="s">
        <v>1639</v>
      </c>
      <c r="E210" s="4" t="s">
        <v>1640</v>
      </c>
      <c r="F210" s="4" t="s">
        <v>29</v>
      </c>
      <c r="G210" s="4" t="s">
        <v>1641</v>
      </c>
      <c r="H210" s="4" t="s">
        <v>1642</v>
      </c>
      <c r="I210" s="4" t="s">
        <v>1643</v>
      </c>
      <c r="J210" s="4" t="s">
        <v>33</v>
      </c>
      <c r="K210" s="4" t="s">
        <v>1644</v>
      </c>
      <c r="L210" s="6">
        <v>48714.0</v>
      </c>
      <c r="M210" s="4" t="s">
        <v>1639</v>
      </c>
      <c r="N210" s="6">
        <v>28850.0</v>
      </c>
      <c r="O210" s="4" t="s">
        <v>35</v>
      </c>
      <c r="P210" s="4" t="s">
        <v>1645</v>
      </c>
      <c r="Q210" s="4" t="s">
        <v>133</v>
      </c>
      <c r="R210" s="7" t="s">
        <v>1646</v>
      </c>
      <c r="S210" s="7" t="s">
        <v>1646</v>
      </c>
      <c r="V210" s="4" t="s">
        <v>1647</v>
      </c>
      <c r="W210" s="4" t="s">
        <v>1648</v>
      </c>
      <c r="X210" s="4" t="s">
        <v>87</v>
      </c>
      <c r="Y210" s="7" t="s">
        <v>1649</v>
      </c>
      <c r="Z210" s="7" t="s">
        <v>1650</v>
      </c>
      <c r="AA210" s="4" t="s">
        <v>1651</v>
      </c>
      <c r="AB210" s="8"/>
    </row>
    <row r="211" ht="22.5" customHeight="1">
      <c r="A211" s="3">
        <v>46195.01260015046</v>
      </c>
      <c r="B211" s="4">
        <v>6.0</v>
      </c>
      <c r="C211" s="5" t="str">
        <f>IFERROR(__xludf.DUMMYFUNCTION("""COMPUTED_VALUE"""),"S43")</f>
        <v>S43</v>
      </c>
      <c r="D211" s="4">
        <v>4.230154778115E12</v>
      </c>
      <c r="E211" s="4" t="s">
        <v>58</v>
      </c>
      <c r="F211" s="4" t="s">
        <v>29</v>
      </c>
      <c r="G211" s="4" t="s">
        <v>55</v>
      </c>
      <c r="H211" s="4" t="s">
        <v>1652</v>
      </c>
      <c r="I211" s="4" t="s">
        <v>1653</v>
      </c>
      <c r="J211" s="4" t="s">
        <v>60</v>
      </c>
      <c r="K211" s="4" t="s">
        <v>1654</v>
      </c>
      <c r="L211" s="6">
        <v>46754.0</v>
      </c>
      <c r="M211" s="4">
        <v>4.23019273925E12</v>
      </c>
      <c r="N211" s="6">
        <v>39344.0</v>
      </c>
      <c r="O211" s="4" t="s">
        <v>1655</v>
      </c>
      <c r="P211" s="4" t="s">
        <v>51</v>
      </c>
      <c r="Q211" s="4" t="s">
        <v>52</v>
      </c>
      <c r="R211" s="7" t="s">
        <v>1656</v>
      </c>
      <c r="S211" s="7" t="s">
        <v>1656</v>
      </c>
      <c r="T211" s="4" t="s">
        <v>55</v>
      </c>
      <c r="U211" s="4" t="s">
        <v>1657</v>
      </c>
      <c r="V211" s="4" t="s">
        <v>1658</v>
      </c>
      <c r="W211" s="4">
        <v>4.230196028359E12</v>
      </c>
      <c r="X211" s="4" t="s">
        <v>1638</v>
      </c>
      <c r="Y211" s="7" t="s">
        <v>1630</v>
      </c>
      <c r="Z211" s="4" t="s">
        <v>57</v>
      </c>
      <c r="AA211" s="4" t="s">
        <v>57</v>
      </c>
      <c r="AB211" s="8"/>
    </row>
    <row r="212" ht="22.5" customHeight="1">
      <c r="A212" s="3">
        <v>46195.01572946759</v>
      </c>
      <c r="B212" s="4">
        <v>6.0</v>
      </c>
      <c r="C212" s="5" t="str">
        <f>IFERROR(__xludf.DUMMYFUNCTION("""COMPUTED_VALUE"""),"S41")</f>
        <v>S41</v>
      </c>
      <c r="D212" s="4" t="s">
        <v>55</v>
      </c>
      <c r="E212" s="4" t="s">
        <v>55</v>
      </c>
      <c r="F212" s="4" t="s">
        <v>29</v>
      </c>
      <c r="G212" s="4" t="s">
        <v>55</v>
      </c>
      <c r="H212" s="4" t="s">
        <v>681</v>
      </c>
      <c r="I212" s="4" t="s">
        <v>1659</v>
      </c>
      <c r="J212" s="4" t="s">
        <v>60</v>
      </c>
      <c r="K212" s="4" t="s">
        <v>1660</v>
      </c>
      <c r="L212" s="6">
        <v>46754.0</v>
      </c>
      <c r="M212" s="4">
        <v>4.2301928352E12</v>
      </c>
      <c r="N212" s="6">
        <v>40009.0</v>
      </c>
      <c r="O212" s="4" t="s">
        <v>1661</v>
      </c>
      <c r="P212" s="4" t="s">
        <v>51</v>
      </c>
      <c r="Q212" s="4" t="s">
        <v>52</v>
      </c>
      <c r="R212" s="7" t="s">
        <v>1662</v>
      </c>
      <c r="S212" s="7" t="s">
        <v>1662</v>
      </c>
      <c r="T212" s="4" t="s">
        <v>1663</v>
      </c>
      <c r="U212" s="4" t="s">
        <v>1664</v>
      </c>
      <c r="V212" s="4" t="s">
        <v>707</v>
      </c>
      <c r="W212" s="4">
        <v>4.230196028359E12</v>
      </c>
      <c r="X212" s="4" t="s">
        <v>1638</v>
      </c>
      <c r="Y212" s="7" t="s">
        <v>1630</v>
      </c>
      <c r="Z212" s="4" t="s">
        <v>57</v>
      </c>
      <c r="AA212" s="4" t="s">
        <v>57</v>
      </c>
      <c r="AB212" s="8"/>
    </row>
    <row r="213" ht="22.5" customHeight="1">
      <c r="A213" s="3">
        <v>46195.019064224536</v>
      </c>
      <c r="B213" s="4">
        <v>6.0</v>
      </c>
      <c r="C213" s="5" t="str">
        <f>IFERROR(__xludf.DUMMYFUNCTION("""COMPUTED_VALUE"""),"L46")</f>
        <v>L46</v>
      </c>
      <c r="D213" s="4">
        <v>4.240142361171E12</v>
      </c>
      <c r="E213" s="4" t="s">
        <v>1491</v>
      </c>
      <c r="F213" s="4" t="s">
        <v>45</v>
      </c>
      <c r="G213" s="4" t="s">
        <v>1665</v>
      </c>
      <c r="H213" s="4" t="s">
        <v>426</v>
      </c>
      <c r="I213" s="4" t="s">
        <v>1666</v>
      </c>
      <c r="J213" s="4" t="s">
        <v>33</v>
      </c>
      <c r="K213" s="4" t="s">
        <v>1667</v>
      </c>
      <c r="L213" s="6">
        <v>48824.0</v>
      </c>
      <c r="M213" s="4">
        <v>4.240188397303E12</v>
      </c>
      <c r="N213" s="6">
        <v>29673.0</v>
      </c>
      <c r="O213" s="4" t="s">
        <v>148</v>
      </c>
      <c r="P213" s="4" t="s">
        <v>1668</v>
      </c>
      <c r="Q213" s="4" t="s">
        <v>431</v>
      </c>
      <c r="R213" s="7" t="s">
        <v>1669</v>
      </c>
      <c r="S213" s="7" t="s">
        <v>1669</v>
      </c>
      <c r="V213" s="4" t="s">
        <v>1670</v>
      </c>
      <c r="W213" s="4">
        <v>4.240172183355E12</v>
      </c>
      <c r="X213" s="4" t="s">
        <v>1169</v>
      </c>
      <c r="Y213" s="7" t="s">
        <v>1669</v>
      </c>
    </row>
    <row r="214" ht="22.5" customHeight="1">
      <c r="A214" s="3">
        <v>46195.019388009256</v>
      </c>
      <c r="B214" s="4">
        <v>2.0</v>
      </c>
      <c r="C214" s="5" t="str">
        <f>IFERROR(__xludf.DUMMYFUNCTION("""COMPUTED_VALUE"""),"S44")</f>
        <v>S44</v>
      </c>
      <c r="D214" s="4" t="s">
        <v>1639</v>
      </c>
      <c r="E214" s="4" t="s">
        <v>1651</v>
      </c>
      <c r="F214" s="4" t="s">
        <v>29</v>
      </c>
      <c r="G214" s="4" t="s">
        <v>1671</v>
      </c>
      <c r="H214" s="4" t="s">
        <v>1672</v>
      </c>
      <c r="I214" s="4" t="s">
        <v>1642</v>
      </c>
      <c r="J214" s="4" t="s">
        <v>60</v>
      </c>
      <c r="K214" s="4" t="s">
        <v>1673</v>
      </c>
      <c r="L214" s="6">
        <v>47516.0</v>
      </c>
      <c r="M214" s="4" t="s">
        <v>1674</v>
      </c>
      <c r="N214" s="6">
        <v>30293.0</v>
      </c>
      <c r="O214" s="4" t="s">
        <v>1675</v>
      </c>
      <c r="P214" s="4" t="s">
        <v>1676</v>
      </c>
      <c r="Q214" s="4" t="s">
        <v>133</v>
      </c>
      <c r="R214" s="7" t="s">
        <v>1677</v>
      </c>
      <c r="S214" s="7" t="s">
        <v>1677</v>
      </c>
      <c r="T214" s="4" t="s">
        <v>1651</v>
      </c>
      <c r="U214" s="4" t="s">
        <v>65</v>
      </c>
      <c r="V214" s="4" t="s">
        <v>1678</v>
      </c>
      <c r="W214" s="4" t="s">
        <v>1648</v>
      </c>
      <c r="X214" s="4" t="s">
        <v>87</v>
      </c>
      <c r="Y214" s="7" t="s">
        <v>1649</v>
      </c>
      <c r="Z214" s="7" t="s">
        <v>1650</v>
      </c>
      <c r="AA214" s="4" t="s">
        <v>1651</v>
      </c>
      <c r="AB214" s="8"/>
    </row>
    <row r="215" ht="22.5" customHeight="1">
      <c r="A215" s="3">
        <v>46195.02067960648</v>
      </c>
      <c r="B215" s="4">
        <v>6.0</v>
      </c>
      <c r="C215" s="5" t="str">
        <f>IFERROR(__xludf.DUMMYFUNCTION("""COMPUTED_VALUE"""),"S43")</f>
        <v>S43</v>
      </c>
      <c r="D215" s="4">
        <v>4.230154778115E12</v>
      </c>
      <c r="E215" s="4" t="s">
        <v>55</v>
      </c>
      <c r="F215" s="4" t="s">
        <v>29</v>
      </c>
      <c r="G215" s="4" t="s">
        <v>55</v>
      </c>
      <c r="H215" s="4" t="s">
        <v>1679</v>
      </c>
      <c r="I215" s="4" t="s">
        <v>1680</v>
      </c>
      <c r="J215" s="4" t="s">
        <v>60</v>
      </c>
      <c r="K215" s="4" t="s">
        <v>1681</v>
      </c>
      <c r="L215" s="6">
        <v>46760.0</v>
      </c>
      <c r="M215" s="4">
        <v>4.230198099114E12</v>
      </c>
      <c r="N215" s="6">
        <v>36881.0</v>
      </c>
      <c r="O215" s="4" t="s">
        <v>1682</v>
      </c>
      <c r="P215" s="4" t="s">
        <v>51</v>
      </c>
      <c r="Q215" s="4" t="s">
        <v>52</v>
      </c>
      <c r="R215" s="7" t="s">
        <v>1683</v>
      </c>
      <c r="S215" s="7" t="s">
        <v>1683</v>
      </c>
      <c r="T215" s="4" t="s">
        <v>1684</v>
      </c>
      <c r="U215" s="4" t="s">
        <v>65</v>
      </c>
      <c r="V215" s="4" t="s">
        <v>1685</v>
      </c>
      <c r="W215" s="4">
        <v>4.230196028359E12</v>
      </c>
      <c r="X215" s="4" t="s">
        <v>1686</v>
      </c>
      <c r="Y215" s="7" t="s">
        <v>1630</v>
      </c>
      <c r="Z215" s="4" t="s">
        <v>57</v>
      </c>
      <c r="AA215" s="4" t="s">
        <v>57</v>
      </c>
      <c r="AB215" s="8"/>
    </row>
    <row r="216" ht="22.5" customHeight="1">
      <c r="A216" s="3">
        <v>46195.02222929398</v>
      </c>
      <c r="B216" s="4">
        <v>3.0</v>
      </c>
      <c r="C216" s="5" t="str">
        <f>IFERROR(__xludf.DUMMYFUNCTION("""COMPUTED_VALUE"""),"L49")</f>
        <v>L49</v>
      </c>
      <c r="D216" s="4">
        <v>4.230110094341E12</v>
      </c>
      <c r="E216" s="4" t="s">
        <v>1687</v>
      </c>
      <c r="F216" s="4" t="s">
        <v>45</v>
      </c>
      <c r="G216" s="4" t="s">
        <v>1688</v>
      </c>
      <c r="H216" s="4" t="s">
        <v>554</v>
      </c>
      <c r="I216" s="4" t="s">
        <v>1689</v>
      </c>
      <c r="J216" s="4" t="s">
        <v>33</v>
      </c>
      <c r="M216" s="4">
        <v>4.230110094341E12</v>
      </c>
      <c r="N216" s="6">
        <v>29509.0</v>
      </c>
      <c r="O216" s="4" t="s">
        <v>160</v>
      </c>
      <c r="P216" s="4" t="s">
        <v>1690</v>
      </c>
      <c r="Q216" s="4" t="s">
        <v>52</v>
      </c>
      <c r="R216" s="7" t="s">
        <v>1691</v>
      </c>
      <c r="S216" s="7" t="s">
        <v>1691</v>
      </c>
      <c r="V216" s="4" t="s">
        <v>1692</v>
      </c>
      <c r="W216" s="4">
        <v>4.230168423451E12</v>
      </c>
      <c r="X216" s="4" t="s">
        <v>310</v>
      </c>
      <c r="Y216" s="7" t="s">
        <v>1693</v>
      </c>
      <c r="Z216" s="4">
        <v>1.19300151130001E14</v>
      </c>
      <c r="AA216" s="4" t="s">
        <v>1694</v>
      </c>
      <c r="AB216" s="8"/>
    </row>
    <row r="217" ht="22.5" customHeight="1">
      <c r="A217" s="3">
        <v>46195.02494005787</v>
      </c>
      <c r="B217" s="4">
        <v>2.0</v>
      </c>
      <c r="C217" s="5" t="str">
        <f>IFERROR(__xludf.DUMMYFUNCTION("""COMPUTED_VALUE"""),"L49")</f>
        <v>L49</v>
      </c>
      <c r="D217" s="4">
        <v>4.230110094341E12</v>
      </c>
      <c r="E217" s="4" t="s">
        <v>1687</v>
      </c>
      <c r="F217" s="4" t="s">
        <v>45</v>
      </c>
      <c r="G217" s="4" t="s">
        <v>1695</v>
      </c>
      <c r="H217" s="4" t="s">
        <v>1696</v>
      </c>
      <c r="I217" s="4" t="s">
        <v>1697</v>
      </c>
      <c r="J217" s="4" t="s">
        <v>33</v>
      </c>
      <c r="M217" s="4">
        <v>4.230110745061E12</v>
      </c>
      <c r="N217" s="6">
        <v>29729.0</v>
      </c>
      <c r="O217" s="4" t="s">
        <v>160</v>
      </c>
      <c r="P217" s="4" t="s">
        <v>1690</v>
      </c>
      <c r="Q217" s="4" t="s">
        <v>37</v>
      </c>
      <c r="R217" s="7" t="s">
        <v>1698</v>
      </c>
      <c r="S217" s="7" t="s">
        <v>1698</v>
      </c>
      <c r="V217" s="4" t="s">
        <v>1688</v>
      </c>
      <c r="W217" s="4">
        <v>4.230110094341E12</v>
      </c>
      <c r="X217" s="4" t="s">
        <v>1212</v>
      </c>
      <c r="Y217" s="7" t="s">
        <v>1691</v>
      </c>
      <c r="Z217" s="4">
        <v>1.19300151130001E14</v>
      </c>
      <c r="AA217" s="4" t="s">
        <v>1699</v>
      </c>
      <c r="AB217" s="8"/>
    </row>
    <row r="218" ht="22.5" customHeight="1">
      <c r="A218" s="3">
        <v>46195.026130625</v>
      </c>
      <c r="B218" s="4">
        <v>6.0</v>
      </c>
      <c r="C218" s="5" t="str">
        <f>IFERROR(__xludf.DUMMYFUNCTION("""COMPUTED_VALUE"""),"L46")</f>
        <v>L46</v>
      </c>
      <c r="D218" s="4">
        <v>4.240142361171E12</v>
      </c>
      <c r="E218" s="4" t="s">
        <v>1491</v>
      </c>
      <c r="F218" s="4" t="s">
        <v>45</v>
      </c>
      <c r="G218" s="4" t="s">
        <v>426</v>
      </c>
      <c r="H218" s="4" t="s">
        <v>1700</v>
      </c>
      <c r="I218" s="4" t="s">
        <v>1701</v>
      </c>
      <c r="J218" s="4" t="s">
        <v>60</v>
      </c>
      <c r="K218" s="4" t="s">
        <v>1702</v>
      </c>
      <c r="L218" s="6">
        <v>47728.0</v>
      </c>
      <c r="M218" s="4">
        <v>4.240114062232E12</v>
      </c>
      <c r="N218" s="6">
        <v>31778.0</v>
      </c>
      <c r="O218" s="4" t="s">
        <v>148</v>
      </c>
      <c r="P218" s="4" t="s">
        <v>1668</v>
      </c>
      <c r="Q218" s="4" t="s">
        <v>431</v>
      </c>
      <c r="R218" s="7" t="s">
        <v>1669</v>
      </c>
      <c r="S218" s="7" t="s">
        <v>1669</v>
      </c>
      <c r="T218" s="4" t="s">
        <v>1701</v>
      </c>
      <c r="U218" s="4" t="s">
        <v>65</v>
      </c>
      <c r="V218" s="4" t="s">
        <v>1701</v>
      </c>
      <c r="W218" s="4">
        <v>4.240188397303E12</v>
      </c>
      <c r="X218" s="4" t="s">
        <v>1703</v>
      </c>
      <c r="Y218" s="7" t="s">
        <v>1704</v>
      </c>
    </row>
    <row r="219" ht="22.5" customHeight="1">
      <c r="A219" s="3">
        <v>46195.02670487268</v>
      </c>
      <c r="B219" s="4">
        <v>1.0</v>
      </c>
      <c r="C219" s="5" t="str">
        <f>IFERROR(__xludf.DUMMYFUNCTION("""COMPUTED_VALUE"""),"L49")</f>
        <v>L49</v>
      </c>
      <c r="D219" s="4">
        <v>4.230110094341E12</v>
      </c>
      <c r="E219" s="4" t="s">
        <v>1687</v>
      </c>
      <c r="F219" s="4" t="s">
        <v>45</v>
      </c>
      <c r="G219" s="4" t="s">
        <v>1705</v>
      </c>
      <c r="H219" s="4" t="s">
        <v>1706</v>
      </c>
      <c r="I219" s="4" t="s">
        <v>1707</v>
      </c>
      <c r="J219" s="4" t="s">
        <v>33</v>
      </c>
      <c r="M219" s="4">
        <v>4.230137092067E12</v>
      </c>
      <c r="N219" s="6">
        <v>35919.0</v>
      </c>
      <c r="O219" s="4" t="s">
        <v>35</v>
      </c>
      <c r="P219" s="4" t="s">
        <v>1690</v>
      </c>
      <c r="Q219" s="4" t="s">
        <v>119</v>
      </c>
      <c r="R219" s="7" t="s">
        <v>1708</v>
      </c>
      <c r="S219" s="7" t="s">
        <v>1708</v>
      </c>
      <c r="V219" s="4" t="s">
        <v>1688</v>
      </c>
      <c r="W219" s="4">
        <v>4.230110094341E12</v>
      </c>
      <c r="X219" s="4" t="s">
        <v>1212</v>
      </c>
      <c r="Y219" s="7" t="s">
        <v>1691</v>
      </c>
      <c r="Z219" s="4">
        <v>1.19300151130001E14</v>
      </c>
      <c r="AA219" s="4" t="s">
        <v>1699</v>
      </c>
      <c r="AB219" s="8"/>
    </row>
    <row r="220" ht="22.5" customHeight="1">
      <c r="A220" s="3">
        <v>46195.03012981481</v>
      </c>
      <c r="B220" s="4" t="s">
        <v>143</v>
      </c>
      <c r="C220" s="5" t="str">
        <f>IFERROR(__xludf.DUMMYFUNCTION("""COMPUTED_VALUE"""),"S45")</f>
        <v>S45</v>
      </c>
      <c r="D220" s="4" t="s">
        <v>1709</v>
      </c>
      <c r="E220" s="4" t="s">
        <v>1710</v>
      </c>
      <c r="F220" s="4" t="s">
        <v>29</v>
      </c>
      <c r="G220" s="4" t="s">
        <v>1711</v>
      </c>
      <c r="H220" s="4" t="s">
        <v>1710</v>
      </c>
      <c r="I220" s="4" t="s">
        <v>1711</v>
      </c>
      <c r="J220" s="4" t="s">
        <v>33</v>
      </c>
      <c r="K220" s="4" t="s">
        <v>1712</v>
      </c>
      <c r="L220" s="6">
        <v>47503.0</v>
      </c>
      <c r="M220" s="4" t="s">
        <v>1709</v>
      </c>
      <c r="N220" s="6">
        <v>33584.0</v>
      </c>
      <c r="O220" s="4" t="s">
        <v>148</v>
      </c>
      <c r="P220" s="4" t="s">
        <v>1713</v>
      </c>
      <c r="Q220" s="4" t="s">
        <v>37</v>
      </c>
      <c r="R220" s="7" t="s">
        <v>1381</v>
      </c>
      <c r="S220" s="7" t="s">
        <v>1714</v>
      </c>
      <c r="V220" s="4" t="s">
        <v>1715</v>
      </c>
      <c r="W220" s="4" t="s">
        <v>1716</v>
      </c>
      <c r="X220" s="4" t="s">
        <v>67</v>
      </c>
      <c r="Y220" s="7" t="s">
        <v>1717</v>
      </c>
      <c r="Z220" s="4" t="s">
        <v>1718</v>
      </c>
      <c r="AA220" s="4" t="s">
        <v>1719</v>
      </c>
      <c r="AB220" s="8"/>
    </row>
    <row r="221" ht="22.5" customHeight="1">
      <c r="A221" s="3">
        <v>46195.03789828704</v>
      </c>
      <c r="B221" s="4">
        <v>6.0</v>
      </c>
      <c r="C221" s="5" t="str">
        <f>IFERROR(__xludf.DUMMYFUNCTION("""COMPUTED_VALUE"""),"L46")</f>
        <v>L46</v>
      </c>
      <c r="D221" s="4">
        <v>4.240142361171E12</v>
      </c>
      <c r="E221" s="4" t="s">
        <v>1491</v>
      </c>
      <c r="F221" s="4" t="s">
        <v>45</v>
      </c>
      <c r="G221" s="4" t="s">
        <v>581</v>
      </c>
      <c r="H221" s="4" t="s">
        <v>1720</v>
      </c>
      <c r="I221" s="4" t="s">
        <v>1721</v>
      </c>
      <c r="J221" s="4" t="s">
        <v>33</v>
      </c>
      <c r="K221" s="4" t="s">
        <v>1722</v>
      </c>
      <c r="L221" s="6">
        <v>47747.0</v>
      </c>
      <c r="M221" s="4">
        <v>4.240172835119E12</v>
      </c>
      <c r="N221" s="6">
        <v>24473.0</v>
      </c>
      <c r="O221" s="4" t="s">
        <v>148</v>
      </c>
      <c r="P221" s="4" t="s">
        <v>1723</v>
      </c>
      <c r="Q221" s="4" t="s">
        <v>37</v>
      </c>
      <c r="R221" s="7" t="s">
        <v>1495</v>
      </c>
      <c r="S221" s="7" t="s">
        <v>1495</v>
      </c>
      <c r="V221" s="4" t="s">
        <v>1724</v>
      </c>
      <c r="W221" s="4">
        <v>4.240107408065E12</v>
      </c>
      <c r="X221" s="4" t="s">
        <v>1169</v>
      </c>
      <c r="Y221" s="7" t="s">
        <v>1725</v>
      </c>
    </row>
    <row r="222" ht="22.5" customHeight="1">
      <c r="A222" s="3">
        <v>46195.04485525463</v>
      </c>
      <c r="B222" s="4">
        <v>2.0</v>
      </c>
      <c r="C222" s="5" t="str">
        <f>IFERROR(__xludf.DUMMYFUNCTION("""COMPUTED_VALUE"""),"L50")</f>
        <v>L50</v>
      </c>
      <c r="D222" s="4">
        <v>4.230132177799E12</v>
      </c>
      <c r="E222" s="4" t="s">
        <v>1726</v>
      </c>
      <c r="F222" s="4" t="s">
        <v>45</v>
      </c>
      <c r="G222" s="4" t="s">
        <v>845</v>
      </c>
      <c r="H222" s="4" t="s">
        <v>1727</v>
      </c>
      <c r="I222" s="4" t="s">
        <v>1728</v>
      </c>
      <c r="J222" s="4" t="s">
        <v>33</v>
      </c>
      <c r="K222" s="4" t="s">
        <v>1729</v>
      </c>
      <c r="L222" s="6">
        <v>47093.0</v>
      </c>
      <c r="M222" s="4">
        <v>4.230132177799E12</v>
      </c>
      <c r="N222" s="6">
        <v>27527.0</v>
      </c>
      <c r="O222" s="4" t="s">
        <v>1730</v>
      </c>
      <c r="P222" s="4" t="s">
        <v>1731</v>
      </c>
      <c r="Q222" s="4" t="s">
        <v>37</v>
      </c>
      <c r="R222" s="7" t="s">
        <v>1732</v>
      </c>
      <c r="S222" s="7" t="s">
        <v>1732</v>
      </c>
      <c r="V222" s="4" t="s">
        <v>1733</v>
      </c>
      <c r="W222" s="4">
        <v>4.230198042419E12</v>
      </c>
      <c r="X222" s="4" t="s">
        <v>87</v>
      </c>
      <c r="Y222" s="7" t="s">
        <v>1734</v>
      </c>
      <c r="Z222" s="4" t="s">
        <v>1735</v>
      </c>
      <c r="AA222" s="4" t="s">
        <v>1733</v>
      </c>
      <c r="AB222" s="8"/>
    </row>
    <row r="223" ht="22.5" customHeight="1">
      <c r="A223" s="3">
        <v>46195.05236219907</v>
      </c>
      <c r="B223" s="4">
        <v>5.0</v>
      </c>
      <c r="C223" s="5" t="str">
        <f>IFERROR(__xludf.DUMMYFUNCTION("""COMPUTED_VALUE"""),"L51")</f>
        <v>L51</v>
      </c>
      <c r="D223" s="4">
        <v>4.240120139715E12</v>
      </c>
      <c r="E223" s="4" t="s">
        <v>1519</v>
      </c>
      <c r="F223" s="4" t="s">
        <v>45</v>
      </c>
      <c r="G223" s="4" t="s">
        <v>1736</v>
      </c>
      <c r="H223" s="4" t="s">
        <v>1737</v>
      </c>
      <c r="I223" s="4" t="s">
        <v>1499</v>
      </c>
      <c r="J223" s="4" t="s">
        <v>60</v>
      </c>
      <c r="M223" s="4">
        <v>4.240190015304E12</v>
      </c>
      <c r="N223" s="6">
        <v>31020.0</v>
      </c>
      <c r="O223" s="4" t="s">
        <v>148</v>
      </c>
      <c r="P223" s="4" t="s">
        <v>1503</v>
      </c>
      <c r="Q223" s="4" t="s">
        <v>431</v>
      </c>
      <c r="R223" s="4" t="s">
        <v>1738</v>
      </c>
      <c r="S223" s="4" t="s">
        <v>1739</v>
      </c>
      <c r="T223" s="4" t="s">
        <v>1499</v>
      </c>
      <c r="U223" s="4" t="s">
        <v>65</v>
      </c>
      <c r="V223" s="4" t="s">
        <v>1740</v>
      </c>
      <c r="W223" s="4">
        <v>4.270103462173E12</v>
      </c>
      <c r="X223" s="4" t="s">
        <v>1741</v>
      </c>
      <c r="Y223" s="7" t="s">
        <v>1742</v>
      </c>
      <c r="Z223" s="4" t="s">
        <v>1743</v>
      </c>
      <c r="AA223" s="4" t="s">
        <v>1499</v>
      </c>
      <c r="AB223" s="8"/>
    </row>
    <row r="224" ht="22.5" customHeight="1">
      <c r="A224" s="3">
        <v>46195.053028622686</v>
      </c>
      <c r="B224" s="4">
        <v>2.0</v>
      </c>
      <c r="C224" s="5" t="str">
        <f>IFERROR(__xludf.DUMMYFUNCTION("""COMPUTED_VALUE"""),"L50")</f>
        <v>L50</v>
      </c>
      <c r="D224" s="4">
        <v>4.230132177799E12</v>
      </c>
      <c r="E224" s="4" t="s">
        <v>1726</v>
      </c>
      <c r="F224" s="4" t="s">
        <v>45</v>
      </c>
      <c r="G224" s="4" t="s">
        <v>1727</v>
      </c>
      <c r="H224" s="4" t="s">
        <v>566</v>
      </c>
      <c r="I224" s="4" t="s">
        <v>1726</v>
      </c>
      <c r="J224" s="4" t="s">
        <v>60</v>
      </c>
      <c r="K224" s="4" t="s">
        <v>1744</v>
      </c>
      <c r="L224" s="6">
        <v>47093.0</v>
      </c>
      <c r="M224" s="4">
        <v>4.230108851372E12</v>
      </c>
      <c r="N224" s="6">
        <v>29231.0</v>
      </c>
      <c r="O224" s="4" t="s">
        <v>117</v>
      </c>
      <c r="P224" s="4" t="s">
        <v>1731</v>
      </c>
      <c r="Q224" s="4" t="s">
        <v>37</v>
      </c>
      <c r="R224" s="7" t="s">
        <v>1732</v>
      </c>
      <c r="S224" s="7" t="s">
        <v>1732</v>
      </c>
      <c r="T224" s="4" t="s">
        <v>1726</v>
      </c>
      <c r="U224" s="4" t="s">
        <v>65</v>
      </c>
      <c r="V224" s="4" t="s">
        <v>1733</v>
      </c>
      <c r="W224" s="4">
        <v>4.230198042419E12</v>
      </c>
      <c r="X224" s="4" t="s">
        <v>87</v>
      </c>
      <c r="Y224" s="7" t="s">
        <v>1734</v>
      </c>
      <c r="Z224" s="4" t="s">
        <v>1735</v>
      </c>
      <c r="AA224" s="4" t="s">
        <v>1733</v>
      </c>
      <c r="AB224" s="8"/>
    </row>
    <row r="225" ht="22.5" customHeight="1">
      <c r="A225" s="3">
        <v>46195.06041667824</v>
      </c>
      <c r="B225" s="4">
        <v>5.0</v>
      </c>
      <c r="C225" s="5" t="str">
        <f>IFERROR(__xludf.DUMMYFUNCTION("""COMPUTED_VALUE"""),"L51")</f>
        <v>L51</v>
      </c>
      <c r="D225" s="4">
        <v>4.240120139715E12</v>
      </c>
      <c r="E225" s="4" t="s">
        <v>1499</v>
      </c>
      <c r="F225" s="4" t="s">
        <v>45</v>
      </c>
      <c r="G225" s="4" t="s">
        <v>1736</v>
      </c>
      <c r="H225" s="4" t="s">
        <v>1737</v>
      </c>
      <c r="I225" s="4" t="s">
        <v>1499</v>
      </c>
      <c r="J225" s="4" t="s">
        <v>60</v>
      </c>
      <c r="M225" s="4">
        <v>4.240190015304E12</v>
      </c>
      <c r="N225" s="6">
        <v>31020.0</v>
      </c>
      <c r="O225" s="4" t="s">
        <v>148</v>
      </c>
      <c r="P225" s="4" t="s">
        <v>1503</v>
      </c>
      <c r="Q225" s="4" t="s">
        <v>431</v>
      </c>
      <c r="R225" s="4" t="s">
        <v>1738</v>
      </c>
      <c r="S225" s="4" t="s">
        <v>1738</v>
      </c>
      <c r="T225" s="4" t="s">
        <v>1499</v>
      </c>
      <c r="U225" s="4" t="s">
        <v>65</v>
      </c>
      <c r="V225" s="4" t="s">
        <v>1745</v>
      </c>
      <c r="W225" s="4">
        <v>4.270103462173E12</v>
      </c>
      <c r="X225" s="4" t="s">
        <v>1741</v>
      </c>
      <c r="Y225" s="4" t="s">
        <v>1746</v>
      </c>
      <c r="Z225" s="4" t="s">
        <v>1743</v>
      </c>
      <c r="AA225" s="4" t="s">
        <v>1499</v>
      </c>
      <c r="AB225" s="8"/>
    </row>
    <row r="226" ht="22.5" customHeight="1">
      <c r="A226" s="3">
        <v>46195.069681203706</v>
      </c>
      <c r="B226" s="4">
        <v>2.0</v>
      </c>
      <c r="C226" s="5" t="str">
        <f>IFERROR(__xludf.DUMMYFUNCTION("""COMPUTED_VALUE"""),"S46")</f>
        <v>S46</v>
      </c>
      <c r="D226" s="4" t="s">
        <v>1747</v>
      </c>
      <c r="E226" s="4" t="s">
        <v>1748</v>
      </c>
      <c r="F226" s="4" t="s">
        <v>29</v>
      </c>
      <c r="G226" s="4" t="s">
        <v>1749</v>
      </c>
      <c r="H226" s="4" t="s">
        <v>31</v>
      </c>
      <c r="I226" s="4" t="s">
        <v>1750</v>
      </c>
      <c r="J226" s="4" t="s">
        <v>33</v>
      </c>
      <c r="K226" s="4" t="s">
        <v>1751</v>
      </c>
      <c r="L226" s="6">
        <v>47037.0</v>
      </c>
      <c r="M226" s="4" t="s">
        <v>1747</v>
      </c>
      <c r="N226" s="6">
        <v>31159.0</v>
      </c>
      <c r="O226" s="4" t="s">
        <v>1752</v>
      </c>
      <c r="P226" s="4">
        <v>75500.0</v>
      </c>
      <c r="Q226" s="4" t="s">
        <v>133</v>
      </c>
      <c r="R226" s="4" t="s">
        <v>1753</v>
      </c>
      <c r="S226" s="7" t="s">
        <v>1754</v>
      </c>
      <c r="V226" s="4" t="s">
        <v>1750</v>
      </c>
      <c r="W226" s="4" t="s">
        <v>1755</v>
      </c>
      <c r="X226" s="4" t="s">
        <v>630</v>
      </c>
      <c r="Y226" s="7" t="s">
        <v>1756</v>
      </c>
      <c r="Z226" s="4" t="s">
        <v>1757</v>
      </c>
      <c r="AA226" s="4" t="s">
        <v>1748</v>
      </c>
      <c r="AB226" s="8"/>
    </row>
    <row r="227" ht="22.5" customHeight="1">
      <c r="A227" s="3">
        <v>46195.07759945602</v>
      </c>
      <c r="B227" s="4">
        <v>2.0</v>
      </c>
      <c r="C227" s="5" t="str">
        <f>IFERROR(__xludf.DUMMYFUNCTION("""COMPUTED_VALUE"""),"S46")</f>
        <v>S46</v>
      </c>
      <c r="D227" s="4" t="s">
        <v>1747</v>
      </c>
      <c r="E227" s="4" t="s">
        <v>1748</v>
      </c>
      <c r="F227" s="4" t="s">
        <v>29</v>
      </c>
      <c r="G227" s="4" t="s">
        <v>1749</v>
      </c>
      <c r="H227" s="4" t="s">
        <v>1758</v>
      </c>
      <c r="I227" s="4" t="s">
        <v>1748</v>
      </c>
      <c r="J227" s="4" t="s">
        <v>60</v>
      </c>
      <c r="K227" s="4" t="s">
        <v>1759</v>
      </c>
      <c r="L227" s="6">
        <v>47393.0</v>
      </c>
      <c r="M227" s="4" t="s">
        <v>1760</v>
      </c>
      <c r="N227" s="6">
        <v>33793.0</v>
      </c>
      <c r="O227" s="4" t="s">
        <v>177</v>
      </c>
      <c r="P227" s="4">
        <v>75500.0</v>
      </c>
      <c r="Q227" s="4" t="s">
        <v>133</v>
      </c>
      <c r="R227" s="7" t="s">
        <v>1761</v>
      </c>
      <c r="S227" s="7" t="s">
        <v>1761</v>
      </c>
      <c r="T227" s="4" t="s">
        <v>1748</v>
      </c>
      <c r="U227" s="4" t="s">
        <v>193</v>
      </c>
      <c r="V227" s="4" t="s">
        <v>1762</v>
      </c>
      <c r="W227" s="4" t="s">
        <v>1763</v>
      </c>
      <c r="X227" s="4" t="s">
        <v>630</v>
      </c>
      <c r="Y227" s="7" t="s">
        <v>1764</v>
      </c>
      <c r="Z227" s="4" t="s">
        <v>1765</v>
      </c>
      <c r="AA227" s="4" t="s">
        <v>1766</v>
      </c>
      <c r="AB227" s="8"/>
    </row>
    <row r="228" ht="22.5" customHeight="1">
      <c r="A228" s="3">
        <v>46195.08430488426</v>
      </c>
      <c r="B228" s="4">
        <v>2.0</v>
      </c>
      <c r="C228" s="5" t="str">
        <f>IFERROR(__xludf.DUMMYFUNCTION("""COMPUTED_VALUE"""),"L52")</f>
        <v>L52</v>
      </c>
      <c r="D228" s="4">
        <v>4.230108780545E12</v>
      </c>
      <c r="E228" s="4" t="s">
        <v>1767</v>
      </c>
      <c r="F228" s="4" t="s">
        <v>45</v>
      </c>
      <c r="G228" s="4" t="s">
        <v>1768</v>
      </c>
      <c r="H228" s="4" t="s">
        <v>1769</v>
      </c>
      <c r="I228" s="4" t="s">
        <v>1770</v>
      </c>
      <c r="J228" s="4" t="s">
        <v>33</v>
      </c>
      <c r="K228" s="4" t="s">
        <v>1771</v>
      </c>
      <c r="L228" s="6">
        <v>48924.0</v>
      </c>
      <c r="M228" s="4">
        <v>4.230108780545E12</v>
      </c>
      <c r="N228" s="6">
        <v>30373.0</v>
      </c>
      <c r="O228" s="4" t="s">
        <v>148</v>
      </c>
      <c r="P228" s="4" t="s">
        <v>1772</v>
      </c>
      <c r="Q228" s="4" t="s">
        <v>52</v>
      </c>
      <c r="R228" s="7" t="s">
        <v>1773</v>
      </c>
      <c r="S228" s="7" t="s">
        <v>1773</v>
      </c>
      <c r="V228" s="4" t="s">
        <v>1774</v>
      </c>
      <c r="W228" s="4">
        <v>4.230109814971E12</v>
      </c>
      <c r="X228" s="4" t="s">
        <v>310</v>
      </c>
      <c r="Y228" s="7" t="s">
        <v>1775</v>
      </c>
      <c r="Z228" s="4" t="s">
        <v>1776</v>
      </c>
      <c r="AA228" s="4" t="s">
        <v>1777</v>
      </c>
      <c r="AB228" s="8"/>
    </row>
    <row r="229" ht="22.5" customHeight="1">
      <c r="A229" s="3">
        <v>46195.08659997685</v>
      </c>
      <c r="B229" s="4">
        <v>1.0</v>
      </c>
      <c r="C229" s="5" t="str">
        <f>IFERROR(__xludf.DUMMYFUNCTION("""COMPUTED_VALUE"""),"L53")</f>
        <v>L53</v>
      </c>
      <c r="D229" s="4">
        <v>4.240148137697E12</v>
      </c>
      <c r="E229" s="4" t="s">
        <v>1490</v>
      </c>
      <c r="F229" s="4" t="s">
        <v>45</v>
      </c>
      <c r="G229" s="4" t="s">
        <v>958</v>
      </c>
      <c r="H229" s="4" t="s">
        <v>31</v>
      </c>
      <c r="I229" s="4" t="s">
        <v>1778</v>
      </c>
      <c r="J229" s="4" t="s">
        <v>33</v>
      </c>
      <c r="K229" s="4" t="s">
        <v>1779</v>
      </c>
      <c r="L229" s="6">
        <v>49191.0</v>
      </c>
      <c r="M229" s="4">
        <v>4.240148137697E12</v>
      </c>
      <c r="N229" s="6">
        <v>26259.0</v>
      </c>
      <c r="O229" s="4" t="s">
        <v>1064</v>
      </c>
      <c r="P229" s="4" t="s">
        <v>1780</v>
      </c>
      <c r="Q229" s="4" t="s">
        <v>133</v>
      </c>
      <c r="R229" s="4" t="s">
        <v>1781</v>
      </c>
      <c r="S229" s="4" t="s">
        <v>1781</v>
      </c>
      <c r="V229" s="4" t="s">
        <v>1782</v>
      </c>
      <c r="W229" s="4">
        <v>4.240175395417E12</v>
      </c>
      <c r="X229" s="4" t="s">
        <v>87</v>
      </c>
      <c r="Y229" s="4" t="s">
        <v>1783</v>
      </c>
    </row>
    <row r="230" ht="22.5" customHeight="1">
      <c r="A230" s="3">
        <v>46195.08947027777</v>
      </c>
      <c r="B230" s="4">
        <v>2.0</v>
      </c>
      <c r="C230" s="5" t="str">
        <f>IFERROR(__xludf.DUMMYFUNCTION("""COMPUTED_VALUE"""),"L52")</f>
        <v>L52</v>
      </c>
      <c r="D230" s="4">
        <v>4.230108780545E12</v>
      </c>
      <c r="E230" s="4" t="s">
        <v>1777</v>
      </c>
      <c r="F230" s="4" t="s">
        <v>45</v>
      </c>
      <c r="G230" s="4" t="s">
        <v>1768</v>
      </c>
      <c r="H230" s="4" t="s">
        <v>1784</v>
      </c>
      <c r="I230" s="4" t="s">
        <v>1777</v>
      </c>
      <c r="J230" s="4" t="s">
        <v>60</v>
      </c>
      <c r="K230" s="4" t="s">
        <v>1785</v>
      </c>
      <c r="L230" s="6">
        <v>47097.0</v>
      </c>
      <c r="M230" s="4">
        <v>4.210153417008E12</v>
      </c>
      <c r="N230" s="6">
        <v>33337.0</v>
      </c>
      <c r="O230" s="4" t="s">
        <v>758</v>
      </c>
      <c r="P230" s="4" t="s">
        <v>1786</v>
      </c>
      <c r="Q230" s="4" t="s">
        <v>37</v>
      </c>
      <c r="R230" s="7" t="s">
        <v>1787</v>
      </c>
      <c r="S230" s="7" t="s">
        <v>1787</v>
      </c>
      <c r="T230" s="4" t="s">
        <v>1777</v>
      </c>
      <c r="U230" s="4" t="s">
        <v>193</v>
      </c>
      <c r="V230" s="4" t="s">
        <v>1788</v>
      </c>
      <c r="W230" s="4">
        <v>4.230109814971E12</v>
      </c>
      <c r="X230" s="4" t="s">
        <v>358</v>
      </c>
      <c r="Y230" s="7" t="s">
        <v>1775</v>
      </c>
      <c r="Z230" s="4" t="s">
        <v>1776</v>
      </c>
      <c r="AA230" s="4" t="s">
        <v>1777</v>
      </c>
      <c r="AB230" s="8"/>
    </row>
    <row r="231" ht="22.5" customHeight="1">
      <c r="A231" s="3">
        <v>46195.098214513884</v>
      </c>
      <c r="B231" s="4">
        <v>4.0</v>
      </c>
      <c r="C231" s="5" t="str">
        <f>IFERROR(__xludf.DUMMYFUNCTION("""COMPUTED_VALUE"""),"L54")</f>
        <v>L54</v>
      </c>
      <c r="D231" s="4">
        <v>4.240119739989E12</v>
      </c>
      <c r="E231" s="4" t="s">
        <v>1789</v>
      </c>
      <c r="F231" s="4" t="s">
        <v>45</v>
      </c>
      <c r="G231" s="4" t="s">
        <v>1790</v>
      </c>
      <c r="H231" s="4" t="s">
        <v>1789</v>
      </c>
      <c r="I231" s="4" t="s">
        <v>1791</v>
      </c>
      <c r="J231" s="4" t="s">
        <v>33</v>
      </c>
      <c r="K231" s="4" t="s">
        <v>1792</v>
      </c>
      <c r="L231" s="6">
        <v>48797.0</v>
      </c>
      <c r="M231" s="4">
        <v>4.240119739989E12</v>
      </c>
      <c r="N231" s="6">
        <v>28313.0</v>
      </c>
      <c r="O231" s="4" t="s">
        <v>160</v>
      </c>
      <c r="P231" s="4" t="s">
        <v>1793</v>
      </c>
      <c r="Q231" s="4" t="s">
        <v>52</v>
      </c>
      <c r="R231" s="7" t="s">
        <v>1794</v>
      </c>
      <c r="S231" s="7" t="s">
        <v>1794</v>
      </c>
      <c r="V231" s="4" t="s">
        <v>1795</v>
      </c>
      <c r="W231" s="4">
        <v>4.240119740017E12</v>
      </c>
      <c r="X231" s="4" t="s">
        <v>310</v>
      </c>
      <c r="Y231" s="7" t="s">
        <v>1796</v>
      </c>
      <c r="Z231" s="4">
        <v>2.164336848642E12</v>
      </c>
      <c r="AA231" s="4" t="s">
        <v>1789</v>
      </c>
      <c r="AB231" s="8"/>
    </row>
    <row r="232" ht="22.5" customHeight="1">
      <c r="A232" s="3">
        <v>46195.11160751157</v>
      </c>
      <c r="B232" s="4">
        <v>4.0</v>
      </c>
      <c r="C232" s="5" t="str">
        <f>IFERROR(__xludf.DUMMYFUNCTION("""COMPUTED_VALUE"""),"L54")</f>
        <v>L54</v>
      </c>
      <c r="D232" s="4">
        <v>4.240119739989E12</v>
      </c>
      <c r="E232" s="4" t="s">
        <v>1789</v>
      </c>
      <c r="F232" s="4" t="s">
        <v>45</v>
      </c>
      <c r="G232" s="4" t="s">
        <v>1797</v>
      </c>
      <c r="H232" s="4" t="s">
        <v>1798</v>
      </c>
      <c r="I232" s="4" t="s">
        <v>1789</v>
      </c>
      <c r="J232" s="4" t="s">
        <v>60</v>
      </c>
      <c r="K232" s="4" t="s">
        <v>1799</v>
      </c>
      <c r="L232" s="6">
        <v>45301.0</v>
      </c>
      <c r="M232" s="4">
        <v>4.24011603751E12</v>
      </c>
      <c r="N232" s="6">
        <v>30336.0</v>
      </c>
      <c r="O232" s="4" t="s">
        <v>160</v>
      </c>
      <c r="P232" s="4" t="s">
        <v>1800</v>
      </c>
      <c r="Q232" s="4" t="s">
        <v>52</v>
      </c>
      <c r="R232" s="7" t="s">
        <v>1801</v>
      </c>
      <c r="S232" s="7" t="s">
        <v>1801</v>
      </c>
      <c r="T232" s="4" t="s">
        <v>1789</v>
      </c>
      <c r="U232" s="4" t="s">
        <v>193</v>
      </c>
      <c r="V232" s="4" t="s">
        <v>1802</v>
      </c>
      <c r="W232" s="4">
        <v>4.240119740017E12</v>
      </c>
      <c r="X232" s="4" t="s">
        <v>1803</v>
      </c>
      <c r="Y232" s="7" t="s">
        <v>1796</v>
      </c>
    </row>
    <row r="233" ht="22.5" customHeight="1">
      <c r="A233" s="3">
        <v>46195.12109105324</v>
      </c>
      <c r="B233" s="4">
        <v>4.0</v>
      </c>
      <c r="C233" s="5" t="str">
        <f>IFERROR(__xludf.DUMMYFUNCTION("""COMPUTED_VALUE"""),"L54")</f>
        <v>L54</v>
      </c>
      <c r="D233" s="4">
        <v>4.240119739989E12</v>
      </c>
      <c r="E233" s="4" t="s">
        <v>1789</v>
      </c>
      <c r="F233" s="4" t="s">
        <v>45</v>
      </c>
      <c r="G233" s="4" t="s">
        <v>1804</v>
      </c>
      <c r="H233" s="4" t="s">
        <v>1805</v>
      </c>
      <c r="I233" s="4" t="s">
        <v>1791</v>
      </c>
      <c r="J233" s="4" t="s">
        <v>33</v>
      </c>
      <c r="M233" s="4">
        <v>4.240119740041E12</v>
      </c>
      <c r="N233" s="6">
        <v>24264.0</v>
      </c>
      <c r="O233" s="4" t="s">
        <v>160</v>
      </c>
      <c r="P233" s="4" t="s">
        <v>1806</v>
      </c>
      <c r="Q233" s="4" t="s">
        <v>52</v>
      </c>
      <c r="R233" s="7" t="s">
        <v>1807</v>
      </c>
      <c r="S233" s="7" t="s">
        <v>1807</v>
      </c>
      <c r="V233" s="4" t="s">
        <v>1808</v>
      </c>
      <c r="W233" s="4">
        <v>4.240119740017E12</v>
      </c>
      <c r="X233" s="4" t="s">
        <v>310</v>
      </c>
      <c r="Y233" s="7" t="s">
        <v>1796</v>
      </c>
      <c r="Z233" s="4">
        <v>2.164336848642E12</v>
      </c>
      <c r="AA233" s="4" t="s">
        <v>1809</v>
      </c>
      <c r="AB233" s="8"/>
    </row>
    <row r="234" ht="22.5" customHeight="1">
      <c r="A234" s="3">
        <v>46195.13120953704</v>
      </c>
      <c r="B234" s="4">
        <v>4.0</v>
      </c>
      <c r="C234" s="5" t="str">
        <f>IFERROR(__xludf.DUMMYFUNCTION("""COMPUTED_VALUE"""),"L54")</f>
        <v>L54</v>
      </c>
      <c r="D234" s="4">
        <v>4.240119739989E12</v>
      </c>
      <c r="E234" s="4" t="s">
        <v>1809</v>
      </c>
      <c r="F234" s="4" t="s">
        <v>45</v>
      </c>
      <c r="G234" s="4" t="s">
        <v>1810</v>
      </c>
      <c r="H234" s="4" t="s">
        <v>1810</v>
      </c>
      <c r="I234" s="4" t="s">
        <v>1811</v>
      </c>
      <c r="J234" s="4" t="s">
        <v>60</v>
      </c>
      <c r="M234" s="4">
        <v>4.240117984834E12</v>
      </c>
      <c r="N234" s="6">
        <v>26085.0</v>
      </c>
      <c r="O234" s="4" t="s">
        <v>160</v>
      </c>
      <c r="P234" s="4" t="s">
        <v>1806</v>
      </c>
      <c r="Q234" s="4" t="s">
        <v>52</v>
      </c>
      <c r="R234" s="7" t="s">
        <v>1794</v>
      </c>
      <c r="S234" s="7" t="s">
        <v>1794</v>
      </c>
      <c r="T234" s="4" t="s">
        <v>1805</v>
      </c>
      <c r="U234" s="4" t="s">
        <v>193</v>
      </c>
      <c r="V234" s="4" t="s">
        <v>1808</v>
      </c>
      <c r="W234" s="4">
        <v>4.240219740017E12</v>
      </c>
      <c r="X234" s="4" t="s">
        <v>1812</v>
      </c>
      <c r="Y234" s="7" t="s">
        <v>1796</v>
      </c>
      <c r="Z234" s="4">
        <v>2.164336848642E12</v>
      </c>
      <c r="AA234" s="4" t="s">
        <v>1809</v>
      </c>
      <c r="AB234" s="8"/>
    </row>
    <row r="235" ht="22.5" customHeight="1">
      <c r="A235" s="3">
        <v>46195.14095068287</v>
      </c>
      <c r="B235" s="4">
        <v>2.0</v>
      </c>
      <c r="C235" s="5" t="str">
        <f>IFERROR(__xludf.DUMMYFUNCTION("""COMPUTED_VALUE"""),"S47")</f>
        <v>S47</v>
      </c>
      <c r="D235" s="4" t="s">
        <v>1813</v>
      </c>
      <c r="E235" s="4" t="s">
        <v>1814</v>
      </c>
      <c r="F235" s="4" t="s">
        <v>29</v>
      </c>
      <c r="G235" s="4" t="s">
        <v>1815</v>
      </c>
      <c r="H235" s="4" t="s">
        <v>767</v>
      </c>
      <c r="I235" s="4" t="s">
        <v>1816</v>
      </c>
      <c r="J235" s="4" t="s">
        <v>33</v>
      </c>
      <c r="K235" s="4" t="s">
        <v>1817</v>
      </c>
      <c r="M235" s="4" t="s">
        <v>1813</v>
      </c>
      <c r="N235" s="6">
        <v>34449.0</v>
      </c>
      <c r="O235" s="4" t="s">
        <v>1818</v>
      </c>
      <c r="P235" s="4" t="s">
        <v>1819</v>
      </c>
      <c r="Q235" s="4" t="s">
        <v>37</v>
      </c>
      <c r="R235" s="7" t="s">
        <v>1820</v>
      </c>
      <c r="S235" s="7" t="s">
        <v>1820</v>
      </c>
      <c r="V235" s="4" t="s">
        <v>1821</v>
      </c>
      <c r="W235" s="4" t="s">
        <v>1822</v>
      </c>
      <c r="X235" s="4" t="s">
        <v>194</v>
      </c>
      <c r="Y235" s="7" t="s">
        <v>1823</v>
      </c>
      <c r="Z235" s="4" t="s">
        <v>1824</v>
      </c>
      <c r="AA235" s="4" t="s">
        <v>1825</v>
      </c>
      <c r="AB235" s="8"/>
    </row>
    <row r="236" ht="22.5" customHeight="1">
      <c r="A236" s="3">
        <v>46195.15673318287</v>
      </c>
      <c r="B236" s="4">
        <v>2.0</v>
      </c>
      <c r="C236" s="5" t="str">
        <f>IFERROR(__xludf.DUMMYFUNCTION("""COMPUTED_VALUE"""),"S47")</f>
        <v>S47</v>
      </c>
      <c r="D236" s="4" t="s">
        <v>1813</v>
      </c>
      <c r="E236" s="4" t="s">
        <v>1814</v>
      </c>
      <c r="F236" s="4" t="s">
        <v>29</v>
      </c>
      <c r="G236" s="4" t="s">
        <v>1826</v>
      </c>
      <c r="H236" s="4" t="s">
        <v>1827</v>
      </c>
      <c r="I236" s="4" t="s">
        <v>1814</v>
      </c>
      <c r="J236" s="4" t="s">
        <v>60</v>
      </c>
      <c r="K236" s="4" t="s">
        <v>1828</v>
      </c>
      <c r="L236" s="6">
        <v>49328.0</v>
      </c>
      <c r="M236" s="4" t="s">
        <v>1829</v>
      </c>
      <c r="N236" s="6">
        <v>36630.0</v>
      </c>
      <c r="O236" s="4" t="s">
        <v>1818</v>
      </c>
      <c r="P236" s="4" t="s">
        <v>1830</v>
      </c>
      <c r="Q236" s="4" t="s">
        <v>37</v>
      </c>
      <c r="R236" s="7" t="s">
        <v>1831</v>
      </c>
      <c r="S236" s="7" t="s">
        <v>1831</v>
      </c>
      <c r="T236" s="4" t="s">
        <v>1814</v>
      </c>
      <c r="U236" s="4" t="s">
        <v>65</v>
      </c>
      <c r="V236" s="4" t="s">
        <v>1821</v>
      </c>
      <c r="W236" s="4" t="s">
        <v>1822</v>
      </c>
      <c r="X236" s="4" t="s">
        <v>40</v>
      </c>
      <c r="Y236" s="7" t="s">
        <v>1823</v>
      </c>
      <c r="Z236" s="4" t="s">
        <v>1824</v>
      </c>
      <c r="AA236" s="4" t="s">
        <v>1832</v>
      </c>
      <c r="AB236" s="8"/>
    </row>
    <row r="237" ht="22.5" customHeight="1">
      <c r="A237" s="3">
        <v>46195.16198491898</v>
      </c>
      <c r="B237" s="4">
        <v>6.0</v>
      </c>
      <c r="C237" s="5" t="str">
        <f>IFERROR(__xludf.DUMMYFUNCTION("""COMPUTED_VALUE"""),"L34")</f>
        <v>L34</v>
      </c>
      <c r="D237" s="4">
        <v>4.220161050133E12</v>
      </c>
      <c r="E237" s="4" t="s">
        <v>1132</v>
      </c>
      <c r="F237" s="4" t="s">
        <v>45</v>
      </c>
      <c r="G237" s="4" t="s">
        <v>251</v>
      </c>
      <c r="H237" s="4" t="s">
        <v>1833</v>
      </c>
      <c r="I237" s="4" t="s">
        <v>1834</v>
      </c>
      <c r="J237" s="4" t="s">
        <v>33</v>
      </c>
      <c r="K237" s="4" t="s">
        <v>1835</v>
      </c>
      <c r="L237" s="6">
        <v>49777.0</v>
      </c>
      <c r="M237" s="4">
        <v>4.220199630647E12</v>
      </c>
      <c r="N237" s="6">
        <v>31680.0</v>
      </c>
      <c r="O237" s="4" t="s">
        <v>1836</v>
      </c>
      <c r="P237" s="4" t="s">
        <v>1837</v>
      </c>
      <c r="Q237" s="4" t="s">
        <v>119</v>
      </c>
      <c r="R237" s="7" t="s">
        <v>1838</v>
      </c>
      <c r="S237" s="7" t="s">
        <v>1838</v>
      </c>
      <c r="V237" s="4" t="s">
        <v>1839</v>
      </c>
      <c r="W237" s="4">
        <v>4.250188114763E12</v>
      </c>
      <c r="X237" s="4" t="s">
        <v>79</v>
      </c>
      <c r="Y237" s="7" t="s">
        <v>1840</v>
      </c>
      <c r="Z237" s="4" t="s">
        <v>1841</v>
      </c>
      <c r="AA237" s="4" t="s">
        <v>1842</v>
      </c>
      <c r="AB237" s="8"/>
    </row>
    <row r="238" ht="22.5" customHeight="1">
      <c r="A238" s="3">
        <v>46195.16878354167</v>
      </c>
      <c r="B238" s="4">
        <v>6.0</v>
      </c>
      <c r="C238" s="5" t="str">
        <f>IFERROR(__xludf.DUMMYFUNCTION("""COMPUTED_VALUE"""),"L34")</f>
        <v>L34</v>
      </c>
      <c r="D238" s="4">
        <v>4.220161050133E12</v>
      </c>
      <c r="E238" s="4" t="s">
        <v>1132</v>
      </c>
      <c r="F238" s="4" t="s">
        <v>45</v>
      </c>
      <c r="G238" s="4" t="s">
        <v>1833</v>
      </c>
      <c r="H238" s="4" t="s">
        <v>1843</v>
      </c>
      <c r="I238" s="4" t="s">
        <v>1842</v>
      </c>
      <c r="J238" s="4" t="s">
        <v>60</v>
      </c>
      <c r="K238" s="4" t="s">
        <v>1844</v>
      </c>
      <c r="M238" s="4">
        <v>4.250126671292E12</v>
      </c>
      <c r="N238" s="6">
        <v>33533.0</v>
      </c>
      <c r="O238" s="4" t="s">
        <v>1845</v>
      </c>
      <c r="P238" s="4" t="s">
        <v>1846</v>
      </c>
      <c r="Q238" s="4" t="s">
        <v>119</v>
      </c>
      <c r="R238" s="7" t="s">
        <v>1847</v>
      </c>
      <c r="S238" s="7" t="s">
        <v>1847</v>
      </c>
      <c r="T238" s="4" t="s">
        <v>1842</v>
      </c>
      <c r="U238" s="4" t="s">
        <v>65</v>
      </c>
      <c r="V238" s="4" t="s">
        <v>1848</v>
      </c>
      <c r="W238" s="4">
        <v>4.220196647312E12</v>
      </c>
      <c r="X238" s="4" t="s">
        <v>1849</v>
      </c>
      <c r="Y238" s="7" t="s">
        <v>1840</v>
      </c>
      <c r="Z238" s="4" t="s">
        <v>1841</v>
      </c>
      <c r="AA238" s="4" t="s">
        <v>1842</v>
      </c>
      <c r="AB238" s="8"/>
    </row>
    <row r="239" ht="22.5" customHeight="1">
      <c r="A239" s="3">
        <v>46195.176595185185</v>
      </c>
      <c r="B239" s="4">
        <v>6.0</v>
      </c>
      <c r="C239" s="5" t="str">
        <f>IFERROR(__xludf.DUMMYFUNCTION("""COMPUTED_VALUE"""),"L34")</f>
        <v>L34</v>
      </c>
      <c r="D239" s="4">
        <v>4.220161050133E12</v>
      </c>
      <c r="E239" s="4" t="s">
        <v>1132</v>
      </c>
      <c r="F239" s="4" t="s">
        <v>45</v>
      </c>
      <c r="G239" s="4" t="s">
        <v>1850</v>
      </c>
      <c r="H239" s="4" t="s">
        <v>1851</v>
      </c>
      <c r="I239" s="4" t="s">
        <v>1852</v>
      </c>
      <c r="J239" s="4" t="s">
        <v>60</v>
      </c>
      <c r="K239" s="4" t="s">
        <v>1853</v>
      </c>
      <c r="L239" s="6">
        <v>48748.0</v>
      </c>
      <c r="M239" s="4">
        <v>4.220155709686E12</v>
      </c>
      <c r="N239" s="6">
        <v>24352.0</v>
      </c>
      <c r="O239" s="4" t="s">
        <v>1845</v>
      </c>
      <c r="P239" s="4" t="s">
        <v>1854</v>
      </c>
      <c r="Q239" s="4" t="s">
        <v>119</v>
      </c>
      <c r="R239" s="7" t="s">
        <v>1855</v>
      </c>
      <c r="S239" s="7" t="s">
        <v>1855</v>
      </c>
      <c r="T239" s="4" t="s">
        <v>1842</v>
      </c>
      <c r="U239" s="4" t="s">
        <v>87</v>
      </c>
      <c r="V239" s="4" t="s">
        <v>1856</v>
      </c>
      <c r="W239" s="4">
        <v>4.250188114763E12</v>
      </c>
      <c r="X239" s="4" t="s">
        <v>87</v>
      </c>
      <c r="Y239" s="7" t="s">
        <v>1840</v>
      </c>
      <c r="Z239" s="4" t="s">
        <v>1841</v>
      </c>
      <c r="AA239" s="4" t="s">
        <v>1842</v>
      </c>
      <c r="AB239" s="8"/>
    </row>
    <row r="240" ht="22.5" customHeight="1">
      <c r="A240" s="3">
        <v>46195.47064835648</v>
      </c>
      <c r="B240" s="4">
        <v>2.0</v>
      </c>
      <c r="C240" s="5" t="str">
        <f>IFERROR(__xludf.DUMMYFUNCTION("""COMPUTED_VALUE"""),"L55")</f>
        <v>L55</v>
      </c>
      <c r="D240" s="4">
        <v>4.210161143685E12</v>
      </c>
      <c r="E240" s="4" t="s">
        <v>1857</v>
      </c>
      <c r="F240" s="4" t="s">
        <v>45</v>
      </c>
      <c r="G240" s="4" t="s">
        <v>877</v>
      </c>
      <c r="H240" s="4" t="s">
        <v>1696</v>
      </c>
      <c r="I240" s="4" t="s">
        <v>1858</v>
      </c>
      <c r="J240" s="4" t="s">
        <v>33</v>
      </c>
      <c r="K240" s="4" t="s">
        <v>1859</v>
      </c>
      <c r="L240" s="6">
        <v>48747.0</v>
      </c>
      <c r="M240" s="4">
        <v>4.210161143685E12</v>
      </c>
      <c r="N240" s="6">
        <v>36235.0</v>
      </c>
      <c r="O240" s="4" t="s">
        <v>148</v>
      </c>
      <c r="P240" s="4" t="s">
        <v>1860</v>
      </c>
      <c r="Q240" s="4" t="s">
        <v>52</v>
      </c>
      <c r="R240" s="7" t="s">
        <v>1861</v>
      </c>
      <c r="S240" s="7" t="s">
        <v>1861</v>
      </c>
      <c r="V240" s="4" t="s">
        <v>1512</v>
      </c>
      <c r="W240" s="4">
        <v>4.210191176216E12</v>
      </c>
      <c r="X240" s="4" t="s">
        <v>65</v>
      </c>
      <c r="Y240" s="7" t="s">
        <v>1862</v>
      </c>
    </row>
    <row r="241" ht="22.5" customHeight="1">
      <c r="A241" s="3">
        <v>46195.470811875</v>
      </c>
      <c r="B241" s="4">
        <v>2.0</v>
      </c>
      <c r="C241" s="5" t="str">
        <f>IFERROR(__xludf.DUMMYFUNCTION("""COMPUTED_VALUE"""),"L55")</f>
        <v>L55</v>
      </c>
      <c r="D241" s="4">
        <v>4.210161143685E12</v>
      </c>
      <c r="E241" s="4" t="s">
        <v>1857</v>
      </c>
      <c r="F241" s="4" t="s">
        <v>45</v>
      </c>
      <c r="G241" s="4" t="s">
        <v>877</v>
      </c>
      <c r="H241" s="4" t="s">
        <v>1696</v>
      </c>
      <c r="I241" s="4" t="s">
        <v>1858</v>
      </c>
      <c r="J241" s="4" t="s">
        <v>33</v>
      </c>
      <c r="K241" s="4" t="s">
        <v>1859</v>
      </c>
      <c r="L241" s="6">
        <v>48747.0</v>
      </c>
      <c r="M241" s="4">
        <v>4.210161143685E12</v>
      </c>
      <c r="N241" s="6">
        <v>36235.0</v>
      </c>
      <c r="O241" s="4" t="s">
        <v>148</v>
      </c>
      <c r="P241" s="4" t="s">
        <v>1860</v>
      </c>
      <c r="Q241" s="4" t="s">
        <v>52</v>
      </c>
      <c r="R241" s="7" t="s">
        <v>1861</v>
      </c>
      <c r="S241" s="7" t="s">
        <v>1861</v>
      </c>
      <c r="V241" s="4" t="s">
        <v>1512</v>
      </c>
      <c r="W241" s="4">
        <v>4.210191176216E12</v>
      </c>
      <c r="X241" s="4" t="s">
        <v>65</v>
      </c>
      <c r="Y241" s="7" t="s">
        <v>1862</v>
      </c>
    </row>
    <row r="242" ht="22.5" customHeight="1">
      <c r="A242" s="3">
        <v>46195.47091940972</v>
      </c>
      <c r="B242" s="4">
        <v>2.0</v>
      </c>
      <c r="C242" s="5" t="str">
        <f>IFERROR(__xludf.DUMMYFUNCTION("""COMPUTED_VALUE"""),"L55")</f>
        <v>L55</v>
      </c>
      <c r="D242" s="4">
        <v>4.210161143685E12</v>
      </c>
      <c r="E242" s="4" t="s">
        <v>1857</v>
      </c>
      <c r="F242" s="4" t="s">
        <v>45</v>
      </c>
      <c r="G242" s="4" t="s">
        <v>877</v>
      </c>
      <c r="H242" s="4" t="s">
        <v>1696</v>
      </c>
      <c r="I242" s="4" t="s">
        <v>1858</v>
      </c>
      <c r="J242" s="4" t="s">
        <v>33</v>
      </c>
      <c r="K242" s="4" t="s">
        <v>1859</v>
      </c>
      <c r="L242" s="6">
        <v>48747.0</v>
      </c>
      <c r="M242" s="4">
        <v>4.210161143685E12</v>
      </c>
      <c r="N242" s="6">
        <v>36235.0</v>
      </c>
      <c r="O242" s="4" t="s">
        <v>148</v>
      </c>
      <c r="P242" s="4" t="s">
        <v>1860</v>
      </c>
      <c r="Q242" s="4" t="s">
        <v>52</v>
      </c>
      <c r="R242" s="7" t="s">
        <v>1861</v>
      </c>
      <c r="S242" s="7" t="s">
        <v>1861</v>
      </c>
      <c r="V242" s="4" t="s">
        <v>1512</v>
      </c>
      <c r="W242" s="4">
        <v>4.210191176216E12</v>
      </c>
      <c r="X242" s="4" t="s">
        <v>65</v>
      </c>
      <c r="Y242" s="7" t="s">
        <v>1862</v>
      </c>
    </row>
    <row r="243" ht="22.5" customHeight="1">
      <c r="A243" s="3">
        <v>46195.47096895833</v>
      </c>
      <c r="B243" s="4">
        <v>2.0</v>
      </c>
      <c r="C243" s="5" t="str">
        <f>IFERROR(__xludf.DUMMYFUNCTION("""COMPUTED_VALUE"""),"L55")</f>
        <v>L55</v>
      </c>
      <c r="D243" s="4">
        <v>4.210161143685E12</v>
      </c>
      <c r="E243" s="4" t="s">
        <v>1857</v>
      </c>
      <c r="F243" s="4" t="s">
        <v>45</v>
      </c>
      <c r="G243" s="4" t="s">
        <v>877</v>
      </c>
      <c r="H243" s="4" t="s">
        <v>1696</v>
      </c>
      <c r="I243" s="4" t="s">
        <v>1858</v>
      </c>
      <c r="J243" s="4" t="s">
        <v>33</v>
      </c>
      <c r="K243" s="4" t="s">
        <v>1859</v>
      </c>
      <c r="L243" s="6">
        <v>48747.0</v>
      </c>
      <c r="M243" s="4">
        <v>4.210161143685E12</v>
      </c>
      <c r="N243" s="6">
        <v>36235.0</v>
      </c>
      <c r="O243" s="4" t="s">
        <v>148</v>
      </c>
      <c r="P243" s="4" t="s">
        <v>1860</v>
      </c>
      <c r="Q243" s="4" t="s">
        <v>52</v>
      </c>
      <c r="R243" s="7" t="s">
        <v>1861</v>
      </c>
      <c r="S243" s="7" t="s">
        <v>1861</v>
      </c>
      <c r="V243" s="4" t="s">
        <v>1512</v>
      </c>
      <c r="W243" s="4">
        <v>4.210191176216E12</v>
      </c>
      <c r="X243" s="4" t="s">
        <v>65</v>
      </c>
      <c r="Y243" s="7" t="s">
        <v>1862</v>
      </c>
    </row>
    <row r="244" ht="22.5" customHeight="1">
      <c r="A244" s="3">
        <v>46195.49032773148</v>
      </c>
      <c r="B244" s="4">
        <v>4.0</v>
      </c>
      <c r="C244" s="5" t="str">
        <f>IFERROR(__xludf.DUMMYFUNCTION("""COMPUTED_VALUE"""),"L56")</f>
        <v>L56</v>
      </c>
      <c r="D244" s="4">
        <v>4.230195285955E12</v>
      </c>
      <c r="E244" s="4" t="s">
        <v>1863</v>
      </c>
      <c r="F244" s="4" t="s">
        <v>45</v>
      </c>
      <c r="G244" s="4" t="s">
        <v>1864</v>
      </c>
      <c r="H244" s="4" t="s">
        <v>1863</v>
      </c>
      <c r="I244" s="4" t="s">
        <v>1865</v>
      </c>
      <c r="J244" s="4" t="s">
        <v>33</v>
      </c>
      <c r="L244" s="6">
        <v>49836.0</v>
      </c>
      <c r="M244" s="4">
        <v>4.230195285955E12</v>
      </c>
      <c r="N244" s="6">
        <v>34126.0</v>
      </c>
      <c r="O244" s="4" t="s">
        <v>1866</v>
      </c>
      <c r="P244" s="4" t="s">
        <v>1867</v>
      </c>
      <c r="Q244" s="4" t="s">
        <v>37</v>
      </c>
      <c r="R244" s="7" t="s">
        <v>1868</v>
      </c>
      <c r="S244" s="7" t="s">
        <v>1868</v>
      </c>
      <c r="V244" s="4" t="s">
        <v>1869</v>
      </c>
      <c r="W244" s="4">
        <v>4.230198510413E12</v>
      </c>
      <c r="X244" s="4" t="s">
        <v>1870</v>
      </c>
      <c r="Y244" s="7" t="s">
        <v>1871</v>
      </c>
      <c r="Z244" s="4">
        <v>9.9350102129478E13</v>
      </c>
      <c r="AA244" s="4" t="s">
        <v>1863</v>
      </c>
      <c r="AB244" s="8"/>
    </row>
    <row r="245" ht="22.5" customHeight="1">
      <c r="A245" s="3">
        <v>46195.49388042824</v>
      </c>
      <c r="B245" s="4">
        <v>4.0</v>
      </c>
      <c r="C245" s="5" t="str">
        <f>IFERROR(__xludf.DUMMYFUNCTION("""COMPUTED_VALUE"""),"L57")</f>
        <v>L57</v>
      </c>
      <c r="D245" s="4">
        <v>4.230195385955E12</v>
      </c>
      <c r="E245" s="4" t="s">
        <v>1863</v>
      </c>
      <c r="F245" s="4" t="s">
        <v>45</v>
      </c>
      <c r="G245" s="4" t="s">
        <v>1864</v>
      </c>
      <c r="H245" s="4" t="s">
        <v>1872</v>
      </c>
      <c r="I245" s="4" t="s">
        <v>1863</v>
      </c>
      <c r="J245" s="4" t="s">
        <v>60</v>
      </c>
      <c r="L245" s="6">
        <v>49839.0</v>
      </c>
      <c r="M245" s="4">
        <v>4.23014224878E12</v>
      </c>
      <c r="N245" s="6">
        <v>36355.0</v>
      </c>
      <c r="O245" s="4" t="s">
        <v>1873</v>
      </c>
      <c r="P245" s="4" t="s">
        <v>1874</v>
      </c>
      <c r="Q245" s="4" t="s">
        <v>37</v>
      </c>
      <c r="R245" s="7" t="s">
        <v>1875</v>
      </c>
      <c r="S245" s="7" t="s">
        <v>1875</v>
      </c>
      <c r="T245" s="4" t="s">
        <v>1863</v>
      </c>
      <c r="U245" s="4" t="s">
        <v>65</v>
      </c>
      <c r="V245" s="4" t="s">
        <v>1869</v>
      </c>
      <c r="W245" s="4">
        <v>4.230198510413E12</v>
      </c>
      <c r="X245" s="4" t="s">
        <v>1870</v>
      </c>
      <c r="Y245" s="7" t="s">
        <v>1876</v>
      </c>
      <c r="Z245" s="7" t="s">
        <v>1877</v>
      </c>
      <c r="AA245" s="4" t="s">
        <v>1863</v>
      </c>
      <c r="AB245" s="8"/>
    </row>
    <row r="246" ht="22.5" customHeight="1">
      <c r="A246" s="3">
        <v>46195.496305266206</v>
      </c>
      <c r="B246" s="4">
        <v>2.0</v>
      </c>
      <c r="C246" s="5" t="str">
        <f>IFERROR(__xludf.DUMMYFUNCTION("""COMPUTED_VALUE"""),"L55")</f>
        <v>L55</v>
      </c>
      <c r="D246" s="4">
        <v>4.210161143685E12</v>
      </c>
      <c r="E246" s="4" t="s">
        <v>1857</v>
      </c>
      <c r="F246" s="4" t="s">
        <v>45</v>
      </c>
      <c r="G246" s="4" t="s">
        <v>877</v>
      </c>
      <c r="H246" s="4" t="s">
        <v>1696</v>
      </c>
      <c r="I246" s="4" t="s">
        <v>1858</v>
      </c>
      <c r="J246" s="4" t="s">
        <v>33</v>
      </c>
      <c r="K246" s="4" t="s">
        <v>1859</v>
      </c>
      <c r="L246" s="6">
        <v>48747.0</v>
      </c>
      <c r="M246" s="4">
        <v>4.210161143685E12</v>
      </c>
      <c r="N246" s="6">
        <v>36235.0</v>
      </c>
      <c r="O246" s="4" t="s">
        <v>148</v>
      </c>
      <c r="P246" s="4" t="s">
        <v>1860</v>
      </c>
      <c r="Q246" s="4" t="s">
        <v>52</v>
      </c>
      <c r="R246" s="7" t="s">
        <v>1878</v>
      </c>
      <c r="S246" s="7" t="s">
        <v>1878</v>
      </c>
      <c r="V246" s="4" t="s">
        <v>1512</v>
      </c>
      <c r="W246" s="4">
        <v>4.210191176216E12</v>
      </c>
      <c r="X246" s="4" t="s">
        <v>65</v>
      </c>
      <c r="Y246" s="7" t="s">
        <v>1862</v>
      </c>
    </row>
    <row r="247" ht="22.5" customHeight="1">
      <c r="A247" s="3">
        <v>46195.4982659838</v>
      </c>
      <c r="B247" s="4">
        <v>4.0</v>
      </c>
      <c r="C247" s="5" t="str">
        <f>IFERROR(__xludf.DUMMYFUNCTION("""COMPUTED_VALUE"""),"L56")</f>
        <v>L56</v>
      </c>
      <c r="D247" s="4">
        <v>4.230195285955E12</v>
      </c>
      <c r="E247" s="4" t="s">
        <v>1863</v>
      </c>
      <c r="F247" s="4" t="s">
        <v>45</v>
      </c>
      <c r="G247" s="4" t="s">
        <v>1864</v>
      </c>
      <c r="H247" s="4" t="s">
        <v>1879</v>
      </c>
      <c r="I247" s="4" t="s">
        <v>31</v>
      </c>
      <c r="J247" s="4" t="s">
        <v>33</v>
      </c>
      <c r="L247" s="6">
        <v>49832.0</v>
      </c>
      <c r="M247" s="4">
        <v>4.230126407949E12</v>
      </c>
      <c r="N247" s="6">
        <v>24108.0</v>
      </c>
      <c r="O247" s="4" t="s">
        <v>1880</v>
      </c>
      <c r="P247" s="4" t="s">
        <v>1874</v>
      </c>
      <c r="Q247" s="4" t="s">
        <v>37</v>
      </c>
      <c r="R247" s="7" t="s">
        <v>1868</v>
      </c>
      <c r="S247" s="7" t="s">
        <v>1868</v>
      </c>
      <c r="V247" s="4" t="s">
        <v>1869</v>
      </c>
      <c r="W247" s="4">
        <v>4.230198510413E12</v>
      </c>
      <c r="X247" s="4" t="s">
        <v>853</v>
      </c>
      <c r="Y247" s="7" t="s">
        <v>1876</v>
      </c>
      <c r="Z247" s="7" t="s">
        <v>1877</v>
      </c>
      <c r="AA247" s="4" t="s">
        <v>1863</v>
      </c>
      <c r="AB247" s="8"/>
    </row>
    <row r="248" ht="22.5" customHeight="1">
      <c r="A248" s="3">
        <v>46195.50161252315</v>
      </c>
      <c r="B248" s="4">
        <v>4.0</v>
      </c>
      <c r="C248" s="5" t="str">
        <f>IFERROR(__xludf.DUMMYFUNCTION("""COMPUTED_VALUE"""),"L56")</f>
        <v>L56</v>
      </c>
      <c r="D248" s="4">
        <v>4.230195285955E12</v>
      </c>
      <c r="E248" s="4" t="s">
        <v>1863</v>
      </c>
      <c r="F248" s="4" t="s">
        <v>45</v>
      </c>
      <c r="G248" s="4" t="s">
        <v>1864</v>
      </c>
      <c r="H248" s="4" t="s">
        <v>1881</v>
      </c>
      <c r="I248" s="4" t="s">
        <v>1865</v>
      </c>
      <c r="J248" s="4" t="s">
        <v>60</v>
      </c>
      <c r="L248" s="6">
        <v>49833.0</v>
      </c>
      <c r="M248" s="4">
        <v>4.230159269894E12</v>
      </c>
      <c r="N248" s="6">
        <v>24838.0</v>
      </c>
      <c r="O248" s="4" t="s">
        <v>1882</v>
      </c>
      <c r="P248" s="4" t="s">
        <v>1883</v>
      </c>
      <c r="Q248" s="4" t="s">
        <v>37</v>
      </c>
      <c r="R248" s="4" t="s">
        <v>1884</v>
      </c>
      <c r="S248" s="4" t="s">
        <v>1884</v>
      </c>
      <c r="T248" s="4" t="s">
        <v>1865</v>
      </c>
      <c r="U248" s="4" t="s">
        <v>65</v>
      </c>
      <c r="V248" s="4" t="s">
        <v>1869</v>
      </c>
      <c r="W248" s="4">
        <v>4.230198510413E12</v>
      </c>
      <c r="X248" s="4" t="s">
        <v>853</v>
      </c>
      <c r="Y248" s="7" t="s">
        <v>1876</v>
      </c>
      <c r="Z248" s="7" t="s">
        <v>1877</v>
      </c>
      <c r="AA248" s="4" t="s">
        <v>1863</v>
      </c>
      <c r="AB248" s="8"/>
    </row>
    <row r="249" ht="22.5" customHeight="1">
      <c r="A249" s="3">
        <v>46195.511978622686</v>
      </c>
      <c r="B249" s="4">
        <v>2.0</v>
      </c>
      <c r="C249" s="5" t="str">
        <f>IFERROR(__xludf.DUMMYFUNCTION("""COMPUTED_VALUE"""),"")</f>
        <v/>
      </c>
      <c r="E249" s="4" t="s">
        <v>162</v>
      </c>
      <c r="F249" s="4" t="s">
        <v>45</v>
      </c>
      <c r="G249" s="4" t="s">
        <v>930</v>
      </c>
      <c r="H249" s="4" t="s">
        <v>162</v>
      </c>
      <c r="I249" s="4" t="s">
        <v>684</v>
      </c>
      <c r="J249" s="4" t="s">
        <v>33</v>
      </c>
      <c r="K249" s="4" t="s">
        <v>1885</v>
      </c>
      <c r="L249" s="6">
        <v>48813.0</v>
      </c>
      <c r="M249" s="4" t="s">
        <v>1886</v>
      </c>
      <c r="N249" s="6">
        <v>37822.0</v>
      </c>
      <c r="O249" s="4" t="s">
        <v>248</v>
      </c>
      <c r="P249" s="4" t="s">
        <v>1887</v>
      </c>
      <c r="Q249" s="4" t="s">
        <v>133</v>
      </c>
      <c r="R249" s="7" t="s">
        <v>1888</v>
      </c>
      <c r="S249" s="7" t="s">
        <v>1888</v>
      </c>
      <c r="V249" s="4" t="s">
        <v>1889</v>
      </c>
      <c r="W249" s="4" t="s">
        <v>1890</v>
      </c>
      <c r="X249" s="4" t="s">
        <v>498</v>
      </c>
      <c r="Y249" s="7" t="s">
        <v>1891</v>
      </c>
      <c r="Z249" s="4" t="s">
        <v>1892</v>
      </c>
      <c r="AA249" s="4" t="s">
        <v>162</v>
      </c>
      <c r="AB249" s="8"/>
    </row>
    <row r="250" ht="22.5" customHeight="1">
      <c r="A250" s="3">
        <v>46195.521836527776</v>
      </c>
      <c r="B250" s="4">
        <v>2.0</v>
      </c>
      <c r="C250" s="5" t="str">
        <f>IFERROR(__xludf.DUMMYFUNCTION("""COMPUTED_VALUE"""),"L58")</f>
        <v>L58</v>
      </c>
      <c r="D250" s="4" t="s">
        <v>1893</v>
      </c>
      <c r="E250" s="4" t="s">
        <v>1894</v>
      </c>
      <c r="F250" s="4" t="s">
        <v>45</v>
      </c>
      <c r="G250" s="4" t="s">
        <v>1895</v>
      </c>
      <c r="H250" s="4" t="s">
        <v>1896</v>
      </c>
      <c r="I250" s="4" t="s">
        <v>1897</v>
      </c>
      <c r="J250" s="4" t="s">
        <v>33</v>
      </c>
      <c r="K250" s="4" t="s">
        <v>1898</v>
      </c>
      <c r="L250" s="6">
        <v>48027.0</v>
      </c>
      <c r="M250" s="4" t="s">
        <v>1893</v>
      </c>
      <c r="N250" s="6">
        <v>21498.0</v>
      </c>
      <c r="O250" s="4" t="s">
        <v>35</v>
      </c>
      <c r="P250" s="4" t="s">
        <v>1899</v>
      </c>
      <c r="Q250" s="4" t="s">
        <v>133</v>
      </c>
      <c r="R250" s="7" t="s">
        <v>1900</v>
      </c>
      <c r="S250" s="7" t="s">
        <v>1900</v>
      </c>
      <c r="T250" s="4" t="s">
        <v>1901</v>
      </c>
      <c r="U250" s="4" t="s">
        <v>1901</v>
      </c>
      <c r="V250" s="4" t="s">
        <v>1902</v>
      </c>
      <c r="W250" s="4" t="s">
        <v>1903</v>
      </c>
      <c r="X250" s="4" t="s">
        <v>40</v>
      </c>
      <c r="Y250" s="7" t="s">
        <v>1900</v>
      </c>
      <c r="Z250" s="7" t="s">
        <v>1904</v>
      </c>
      <c r="AA250" s="4" t="s">
        <v>1905</v>
      </c>
      <c r="AB250" s="8"/>
    </row>
    <row r="251" ht="22.5" customHeight="1">
      <c r="A251" s="3">
        <v>46195.557365810186</v>
      </c>
      <c r="B251" s="4">
        <v>2.0</v>
      </c>
      <c r="C251" s="5" t="str">
        <f>IFERROR(__xludf.DUMMYFUNCTION("""COMPUTED_VALUE"""),"S48")</f>
        <v>S48</v>
      </c>
      <c r="D251" s="4" t="s">
        <v>1906</v>
      </c>
      <c r="E251" s="4" t="s">
        <v>1907</v>
      </c>
      <c r="F251" s="4" t="s">
        <v>29</v>
      </c>
      <c r="G251" s="4" t="s">
        <v>1908</v>
      </c>
      <c r="H251" s="4" t="s">
        <v>1909</v>
      </c>
      <c r="I251" s="4" t="s">
        <v>1910</v>
      </c>
      <c r="J251" s="4" t="s">
        <v>33</v>
      </c>
      <c r="M251" s="4" t="s">
        <v>1906</v>
      </c>
      <c r="N251" s="6">
        <v>32933.0</v>
      </c>
      <c r="O251" s="4" t="s">
        <v>160</v>
      </c>
      <c r="P251" s="4" t="s">
        <v>1911</v>
      </c>
      <c r="Q251" s="4" t="s">
        <v>133</v>
      </c>
      <c r="R251" s="7" t="s">
        <v>1912</v>
      </c>
      <c r="S251" s="7" t="s">
        <v>1912</v>
      </c>
      <c r="V251" s="4" t="s">
        <v>1913</v>
      </c>
      <c r="W251" s="4" t="s">
        <v>1914</v>
      </c>
      <c r="X251" s="4" t="s">
        <v>67</v>
      </c>
      <c r="Y251" s="7" t="s">
        <v>1915</v>
      </c>
      <c r="Z251" s="4" t="s">
        <v>1916</v>
      </c>
      <c r="AA251" s="4" t="s">
        <v>1907</v>
      </c>
      <c r="AB251" s="8"/>
    </row>
    <row r="252" ht="22.5" customHeight="1">
      <c r="A252" s="3">
        <v>46195.56914883102</v>
      </c>
      <c r="B252" s="4">
        <v>2.0</v>
      </c>
      <c r="C252" s="5" t="str">
        <f>IFERROR(__xludf.DUMMYFUNCTION("""COMPUTED_VALUE"""),"S48")</f>
        <v>S48</v>
      </c>
      <c r="D252" s="4" t="s">
        <v>1906</v>
      </c>
      <c r="E252" s="4" t="s">
        <v>1907</v>
      </c>
      <c r="F252" s="4" t="s">
        <v>29</v>
      </c>
      <c r="G252" s="4" t="s">
        <v>491</v>
      </c>
      <c r="H252" s="4" t="s">
        <v>1917</v>
      </c>
      <c r="I252" s="4" t="s">
        <v>1907</v>
      </c>
      <c r="J252" s="4" t="s">
        <v>60</v>
      </c>
      <c r="M252" s="4" t="s">
        <v>1914</v>
      </c>
      <c r="N252" s="6">
        <v>35396.0</v>
      </c>
      <c r="O252" s="4" t="s">
        <v>148</v>
      </c>
      <c r="P252" s="4" t="s">
        <v>1918</v>
      </c>
      <c r="Q252" s="4" t="s">
        <v>37</v>
      </c>
      <c r="R252" s="7" t="s">
        <v>1915</v>
      </c>
      <c r="S252" s="7" t="s">
        <v>1915</v>
      </c>
      <c r="T252" s="4" t="s">
        <v>1907</v>
      </c>
      <c r="U252" s="4" t="s">
        <v>65</v>
      </c>
      <c r="V252" s="4" t="s">
        <v>1907</v>
      </c>
      <c r="W252" s="4" t="s">
        <v>1919</v>
      </c>
      <c r="X252" s="4" t="s">
        <v>65</v>
      </c>
      <c r="Y252" s="7" t="s">
        <v>1912</v>
      </c>
      <c r="Z252" s="4" t="s">
        <v>1920</v>
      </c>
      <c r="AA252" s="4" t="s">
        <v>1913</v>
      </c>
      <c r="AB252" s="8"/>
    </row>
    <row r="253" ht="22.5" customHeight="1">
      <c r="A253" s="3">
        <v>46195.59805303241</v>
      </c>
      <c r="B253" s="4">
        <v>2.0</v>
      </c>
      <c r="C253" s="5" t="str">
        <f>IFERROR(__xludf.DUMMYFUNCTION("""COMPUTED_VALUE"""),"L58")</f>
        <v>L58</v>
      </c>
      <c r="D253" s="4" t="s">
        <v>1893</v>
      </c>
      <c r="E253" s="4" t="s">
        <v>1896</v>
      </c>
      <c r="F253" s="4" t="s">
        <v>45</v>
      </c>
      <c r="G253" s="4" t="s">
        <v>1921</v>
      </c>
      <c r="H253" s="4" t="s">
        <v>1922</v>
      </c>
      <c r="I253" s="4" t="s">
        <v>1896</v>
      </c>
      <c r="J253" s="4" t="s">
        <v>60</v>
      </c>
      <c r="K253" s="4" t="s">
        <v>1923</v>
      </c>
      <c r="L253" s="6">
        <v>48027.0</v>
      </c>
      <c r="M253" s="4" t="s">
        <v>1924</v>
      </c>
      <c r="N253" s="6">
        <v>25039.0</v>
      </c>
      <c r="O253" s="4" t="s">
        <v>35</v>
      </c>
      <c r="P253" s="4" t="s">
        <v>1899</v>
      </c>
      <c r="Q253" s="4" t="s">
        <v>133</v>
      </c>
      <c r="R253" s="7" t="s">
        <v>1900</v>
      </c>
      <c r="S253" s="7" t="s">
        <v>1900</v>
      </c>
      <c r="T253" s="4" t="s">
        <v>1896</v>
      </c>
      <c r="U253" s="4" t="s">
        <v>193</v>
      </c>
      <c r="V253" s="4" t="s">
        <v>1902</v>
      </c>
      <c r="W253" s="4" t="s">
        <v>1903</v>
      </c>
      <c r="X253" s="4" t="s">
        <v>498</v>
      </c>
      <c r="Y253" s="7" t="s">
        <v>1900</v>
      </c>
      <c r="Z253" s="7" t="s">
        <v>1925</v>
      </c>
      <c r="AA253" s="4" t="s">
        <v>1905</v>
      </c>
      <c r="AB253" s="8"/>
    </row>
    <row r="254" ht="22.5" customHeight="1">
      <c r="A254" s="3">
        <v>46195.62347910879</v>
      </c>
      <c r="B254" s="4" t="s">
        <v>1926</v>
      </c>
      <c r="C254" s="5" t="str">
        <f>IFERROR(__xludf.DUMMYFUNCTION("""COMPUTED_VALUE"""),"S49")</f>
        <v>S49</v>
      </c>
      <c r="D254" s="4">
        <v>4.230119306885E12</v>
      </c>
      <c r="E254" s="4" t="s">
        <v>1072</v>
      </c>
      <c r="F254" s="4" t="s">
        <v>29</v>
      </c>
      <c r="G254" s="4" t="s">
        <v>1927</v>
      </c>
      <c r="H254" s="4" t="s">
        <v>1928</v>
      </c>
      <c r="I254" s="4" t="s">
        <v>1929</v>
      </c>
      <c r="J254" s="4" t="s">
        <v>33</v>
      </c>
      <c r="K254" s="4" t="s">
        <v>1930</v>
      </c>
      <c r="L254" s="6">
        <v>48919.0</v>
      </c>
      <c r="M254" s="4">
        <v>4.230119306885E12</v>
      </c>
      <c r="N254" s="6">
        <v>32606.0</v>
      </c>
      <c r="O254" s="4" t="s">
        <v>148</v>
      </c>
      <c r="P254" s="4" t="s">
        <v>1931</v>
      </c>
      <c r="Q254" s="4" t="s">
        <v>52</v>
      </c>
      <c r="R254" s="7" t="s">
        <v>1932</v>
      </c>
      <c r="S254" s="7" t="s">
        <v>1932</v>
      </c>
      <c r="V254" s="4" t="s">
        <v>1103</v>
      </c>
      <c r="W254" s="4">
        <v>4.230176077599E12</v>
      </c>
      <c r="X254" s="4" t="s">
        <v>310</v>
      </c>
      <c r="Y254" s="7" t="s">
        <v>1933</v>
      </c>
      <c r="Z254" s="4">
        <v>9.9710104248683E13</v>
      </c>
      <c r="AA254" s="4" t="s">
        <v>1928</v>
      </c>
      <c r="AB254" s="8"/>
    </row>
    <row r="255" ht="22.5" customHeight="1">
      <c r="A255" s="3">
        <v>46195.62777633102</v>
      </c>
      <c r="B255" s="4">
        <v>2.0</v>
      </c>
      <c r="C255" s="5" t="str">
        <f>IFERROR(__xludf.DUMMYFUNCTION("""COMPUTED_VALUE"""),"S49")</f>
        <v>S49</v>
      </c>
      <c r="D255" s="4">
        <v>4.230119306885E12</v>
      </c>
      <c r="E255" s="4" t="s">
        <v>1928</v>
      </c>
      <c r="F255" s="4" t="s">
        <v>29</v>
      </c>
      <c r="G255" s="4" t="s">
        <v>1927</v>
      </c>
      <c r="H255" s="4" t="s">
        <v>1934</v>
      </c>
      <c r="I255" s="4" t="s">
        <v>426</v>
      </c>
      <c r="J255" s="4" t="s">
        <v>33</v>
      </c>
      <c r="K255" s="4" t="s">
        <v>1935</v>
      </c>
      <c r="L255" s="6">
        <v>49547.0</v>
      </c>
      <c r="M255" s="4">
        <v>4.230173854814E12</v>
      </c>
      <c r="N255" s="6">
        <v>37504.0</v>
      </c>
      <c r="O255" s="4" t="s">
        <v>148</v>
      </c>
      <c r="P255" s="4" t="s">
        <v>1931</v>
      </c>
      <c r="Q255" s="4" t="s">
        <v>52</v>
      </c>
      <c r="R255" s="7" t="s">
        <v>1936</v>
      </c>
      <c r="S255" s="7" t="s">
        <v>1936</v>
      </c>
      <c r="T255" s="4" t="s">
        <v>1928</v>
      </c>
      <c r="U255" s="4" t="s">
        <v>193</v>
      </c>
      <c r="V255" s="4" t="s">
        <v>1103</v>
      </c>
      <c r="W255" s="4">
        <v>4.230176077599E12</v>
      </c>
      <c r="X255" s="4" t="s">
        <v>1937</v>
      </c>
      <c r="Y255" s="7" t="s">
        <v>1933</v>
      </c>
      <c r="Z255" s="4">
        <v>9.9710104248683E13</v>
      </c>
      <c r="AA255" s="4" t="s">
        <v>1928</v>
      </c>
      <c r="AB255" s="8"/>
    </row>
    <row r="256" ht="22.5" customHeight="1">
      <c r="A256" s="3">
        <v>46195.67270899306</v>
      </c>
      <c r="B256" s="4">
        <v>2.0</v>
      </c>
      <c r="C256" s="5" t="str">
        <f>IFERROR(__xludf.DUMMYFUNCTION("""COMPUTED_VALUE"""),"L59")</f>
        <v>L59</v>
      </c>
      <c r="D256" s="4">
        <v>4.200004906913E12</v>
      </c>
      <c r="E256" s="4" t="s">
        <v>1938</v>
      </c>
      <c r="F256" s="4" t="s">
        <v>45</v>
      </c>
      <c r="G256" s="4" t="s">
        <v>251</v>
      </c>
      <c r="H256" s="4" t="s">
        <v>1939</v>
      </c>
      <c r="I256" s="4" t="s">
        <v>1940</v>
      </c>
      <c r="J256" s="4" t="s">
        <v>33</v>
      </c>
      <c r="K256" s="4" t="s">
        <v>1941</v>
      </c>
      <c r="L256" s="6">
        <v>49806.0</v>
      </c>
      <c r="M256" s="4">
        <v>4.200004906913E12</v>
      </c>
      <c r="N256" s="6">
        <v>26525.0</v>
      </c>
      <c r="O256" s="4" t="s">
        <v>512</v>
      </c>
      <c r="P256" s="4" t="s">
        <v>1942</v>
      </c>
      <c r="Q256" s="4" t="s">
        <v>133</v>
      </c>
      <c r="R256" s="4" t="s">
        <v>1943</v>
      </c>
      <c r="S256" s="4" t="s">
        <v>1943</v>
      </c>
      <c r="V256" s="4" t="s">
        <v>1944</v>
      </c>
      <c r="W256" s="4">
        <v>4.220167494207E12</v>
      </c>
      <c r="X256" s="4" t="s">
        <v>79</v>
      </c>
      <c r="Y256" s="4" t="s">
        <v>1945</v>
      </c>
      <c r="Z256" s="4" t="s">
        <v>1946</v>
      </c>
      <c r="AA256" s="4" t="s">
        <v>1938</v>
      </c>
      <c r="AB256" s="8"/>
    </row>
    <row r="257" ht="22.5" customHeight="1">
      <c r="A257" s="3">
        <v>46195.67789013889</v>
      </c>
      <c r="B257" s="4">
        <v>2.0</v>
      </c>
      <c r="C257" s="5" t="str">
        <f>IFERROR(__xludf.DUMMYFUNCTION("""COMPUTED_VALUE"""),"L59")</f>
        <v>L59</v>
      </c>
      <c r="D257" s="4">
        <v>4.200004906913E12</v>
      </c>
      <c r="E257" s="4" t="s">
        <v>1938</v>
      </c>
      <c r="F257" s="4" t="s">
        <v>45</v>
      </c>
      <c r="G257" s="4" t="s">
        <v>1939</v>
      </c>
      <c r="H257" s="4" t="s">
        <v>1947</v>
      </c>
      <c r="I257" s="4" t="s">
        <v>1938</v>
      </c>
      <c r="J257" s="4" t="s">
        <v>60</v>
      </c>
      <c r="K257" s="4" t="s">
        <v>1948</v>
      </c>
      <c r="L257" s="6">
        <v>49815.0</v>
      </c>
      <c r="M257" s="4">
        <v>4.200004498802E12</v>
      </c>
      <c r="N257" s="6">
        <v>28839.0</v>
      </c>
      <c r="O257" s="4" t="s">
        <v>512</v>
      </c>
      <c r="P257" s="4" t="s">
        <v>1942</v>
      </c>
      <c r="Q257" s="4" t="s">
        <v>133</v>
      </c>
      <c r="R257" s="4" t="s">
        <v>1943</v>
      </c>
      <c r="S257" s="4" t="s">
        <v>1943</v>
      </c>
      <c r="T257" s="4" t="s">
        <v>1938</v>
      </c>
      <c r="U257" s="4" t="s">
        <v>67</v>
      </c>
      <c r="V257" s="4" t="s">
        <v>1949</v>
      </c>
      <c r="W257" s="4">
        <v>4.220167494207E12</v>
      </c>
      <c r="X257" s="4" t="s">
        <v>1950</v>
      </c>
      <c r="Y257" s="4" t="s">
        <v>1945</v>
      </c>
      <c r="Z257" s="4" t="s">
        <v>1946</v>
      </c>
      <c r="AA257" s="4" t="s">
        <v>1938</v>
      </c>
      <c r="AB257" s="8"/>
    </row>
    <row r="258" ht="22.5" customHeight="1">
      <c r="A258" s="3">
        <v>46195.69074635417</v>
      </c>
      <c r="B258" s="4">
        <v>2.0</v>
      </c>
      <c r="C258" s="5" t="str">
        <f>IFERROR(__xludf.DUMMYFUNCTION("""COMPUTED_VALUE"""),"L60")</f>
        <v>L60</v>
      </c>
      <c r="D258" s="4" t="s">
        <v>1886</v>
      </c>
      <c r="E258" s="4" t="s">
        <v>162</v>
      </c>
      <c r="F258" s="4" t="s">
        <v>45</v>
      </c>
      <c r="G258" s="4" t="s">
        <v>475</v>
      </c>
      <c r="H258" s="4" t="s">
        <v>1951</v>
      </c>
      <c r="I258" s="4" t="s">
        <v>162</v>
      </c>
      <c r="J258" s="4" t="s">
        <v>60</v>
      </c>
      <c r="M258" s="4" t="s">
        <v>1952</v>
      </c>
      <c r="N258" s="6">
        <v>39812.0</v>
      </c>
      <c r="O258" s="4" t="s">
        <v>148</v>
      </c>
      <c r="P258" s="4" t="s">
        <v>1953</v>
      </c>
      <c r="Q258" s="4" t="s">
        <v>133</v>
      </c>
      <c r="R258" s="7" t="s">
        <v>1888</v>
      </c>
      <c r="S258" s="7" t="s">
        <v>1888</v>
      </c>
      <c r="T258" s="4" t="s">
        <v>162</v>
      </c>
      <c r="U258" s="4" t="s">
        <v>193</v>
      </c>
      <c r="V258" s="4" t="s">
        <v>1954</v>
      </c>
      <c r="W258" s="4" t="s">
        <v>1890</v>
      </c>
      <c r="X258" s="4" t="s">
        <v>1098</v>
      </c>
      <c r="Y258" s="7" t="s">
        <v>1891</v>
      </c>
      <c r="Z258" s="4" t="s">
        <v>1892</v>
      </c>
      <c r="AA258" s="4" t="s">
        <v>162</v>
      </c>
      <c r="AB258" s="8"/>
    </row>
    <row r="259" ht="22.5" customHeight="1">
      <c r="A259" s="3">
        <v>46195.691211655096</v>
      </c>
      <c r="B259" s="4">
        <v>6.0</v>
      </c>
      <c r="C259" s="5" t="str">
        <f>IFERROR(__xludf.DUMMYFUNCTION("""COMPUTED_VALUE"""),"L34")</f>
        <v>L34</v>
      </c>
      <c r="D259" s="4">
        <v>4.220161050133E12</v>
      </c>
      <c r="E259" s="4" t="s">
        <v>1132</v>
      </c>
      <c r="F259" s="4" t="s">
        <v>45</v>
      </c>
      <c r="G259" s="4" t="s">
        <v>251</v>
      </c>
      <c r="H259" s="4" t="s">
        <v>1833</v>
      </c>
      <c r="I259" s="4" t="s">
        <v>1834</v>
      </c>
      <c r="J259" s="4" t="s">
        <v>33</v>
      </c>
      <c r="K259" s="4" t="s">
        <v>1835</v>
      </c>
      <c r="L259" s="6">
        <v>49777.0</v>
      </c>
      <c r="M259" s="4">
        <v>4.220199630647E12</v>
      </c>
      <c r="N259" s="6">
        <v>31680.0</v>
      </c>
      <c r="O259" s="4" t="s">
        <v>1955</v>
      </c>
      <c r="P259" s="4" t="s">
        <v>1956</v>
      </c>
      <c r="Q259" s="4" t="s">
        <v>119</v>
      </c>
      <c r="R259" s="7" t="s">
        <v>1838</v>
      </c>
      <c r="S259" s="7" t="s">
        <v>1838</v>
      </c>
      <c r="V259" s="4" t="s">
        <v>1839</v>
      </c>
      <c r="W259" s="4">
        <v>4.250188114763E12</v>
      </c>
      <c r="X259" s="4" t="s">
        <v>79</v>
      </c>
      <c r="Y259" s="7" t="s">
        <v>1840</v>
      </c>
      <c r="Z259" s="4" t="s">
        <v>1957</v>
      </c>
      <c r="AA259" s="4" t="s">
        <v>1958</v>
      </c>
      <c r="AB259" s="8"/>
    </row>
    <row r="260" ht="22.5" customHeight="1">
      <c r="A260" s="3">
        <v>46195.69572512731</v>
      </c>
      <c r="B260" s="4">
        <v>6.0</v>
      </c>
      <c r="C260" s="5" t="str">
        <f>IFERROR(__xludf.DUMMYFUNCTION("""COMPUTED_VALUE"""),"L34")</f>
        <v>L34</v>
      </c>
      <c r="D260" s="4">
        <v>4.220161050133E12</v>
      </c>
      <c r="E260" s="4" t="s">
        <v>1132</v>
      </c>
      <c r="F260" s="4" t="s">
        <v>45</v>
      </c>
      <c r="G260" s="4" t="s">
        <v>1833</v>
      </c>
      <c r="H260" s="4" t="s">
        <v>1843</v>
      </c>
      <c r="I260" s="4" t="s">
        <v>1842</v>
      </c>
      <c r="J260" s="4" t="s">
        <v>60</v>
      </c>
      <c r="K260" s="4" t="s">
        <v>1844</v>
      </c>
      <c r="M260" s="4">
        <v>4.250126671292E12</v>
      </c>
      <c r="N260" s="6">
        <v>33533.0</v>
      </c>
      <c r="O260" s="4" t="s">
        <v>1959</v>
      </c>
      <c r="P260" s="4" t="s">
        <v>1960</v>
      </c>
      <c r="Q260" s="4" t="s">
        <v>119</v>
      </c>
      <c r="R260" s="7" t="s">
        <v>1847</v>
      </c>
      <c r="S260" s="7" t="s">
        <v>1847</v>
      </c>
      <c r="T260" s="4" t="s">
        <v>1842</v>
      </c>
      <c r="U260" s="4" t="s">
        <v>65</v>
      </c>
      <c r="V260" s="4" t="s">
        <v>1848</v>
      </c>
      <c r="W260" s="4">
        <v>4.220196647312E12</v>
      </c>
      <c r="X260" s="4" t="s">
        <v>1849</v>
      </c>
      <c r="Y260" s="7" t="s">
        <v>1840</v>
      </c>
      <c r="Z260" s="4" t="s">
        <v>1957</v>
      </c>
      <c r="AA260" s="4" t="s">
        <v>1958</v>
      </c>
      <c r="AB260" s="8"/>
    </row>
    <row r="261" ht="22.5" customHeight="1">
      <c r="A261" s="3">
        <v>46195.696136631945</v>
      </c>
      <c r="B261" s="4">
        <v>3.0</v>
      </c>
      <c r="C261" s="5" t="str">
        <f>IFERROR(__xludf.DUMMYFUNCTION("""COMPUTED_VALUE"""),"S50")</f>
        <v>S50</v>
      </c>
      <c r="D261" s="4">
        <v>4.130382961503E12</v>
      </c>
      <c r="E261" s="4" t="s">
        <v>1961</v>
      </c>
      <c r="F261" s="4" t="s">
        <v>29</v>
      </c>
      <c r="G261" s="4" t="s">
        <v>1962</v>
      </c>
      <c r="H261" s="4" t="s">
        <v>1963</v>
      </c>
      <c r="I261" s="4" t="s">
        <v>1964</v>
      </c>
      <c r="J261" s="4" t="s">
        <v>33</v>
      </c>
      <c r="M261" s="4">
        <v>4.130382961503E12</v>
      </c>
      <c r="N261" s="6">
        <v>27266.0</v>
      </c>
      <c r="O261" s="4" t="s">
        <v>1965</v>
      </c>
      <c r="P261" s="4" t="s">
        <v>1966</v>
      </c>
      <c r="Q261" s="4" t="s">
        <v>37</v>
      </c>
      <c r="R261" s="7" t="s">
        <v>1967</v>
      </c>
      <c r="S261" s="7" t="s">
        <v>1968</v>
      </c>
      <c r="V261" s="4" t="s">
        <v>1969</v>
      </c>
      <c r="W261" s="4">
        <v>4.130363664543E12</v>
      </c>
      <c r="X261" s="4" t="s">
        <v>87</v>
      </c>
      <c r="Y261" s="7" t="s">
        <v>1970</v>
      </c>
      <c r="Z261" s="4" t="s">
        <v>1971</v>
      </c>
      <c r="AA261" s="4" t="s">
        <v>1969</v>
      </c>
      <c r="AB261" s="8"/>
    </row>
    <row r="262" ht="22.5" customHeight="1">
      <c r="A262" s="3">
        <v>46195.70241542824</v>
      </c>
      <c r="B262" s="4">
        <v>6.0</v>
      </c>
      <c r="C262" s="5" t="str">
        <f>IFERROR(__xludf.DUMMYFUNCTION("""COMPUTED_VALUE"""),"L34")</f>
        <v>L34</v>
      </c>
      <c r="D262" s="4">
        <v>4.220161050133E12</v>
      </c>
      <c r="E262" s="4" t="s">
        <v>1132</v>
      </c>
      <c r="F262" s="4" t="s">
        <v>45</v>
      </c>
      <c r="G262" s="4" t="s">
        <v>1850</v>
      </c>
      <c r="H262" s="4" t="s">
        <v>1851</v>
      </c>
      <c r="I262" s="4" t="s">
        <v>1852</v>
      </c>
      <c r="J262" s="4" t="s">
        <v>60</v>
      </c>
      <c r="K262" s="4" t="s">
        <v>1853</v>
      </c>
      <c r="L262" s="6">
        <v>48748.0</v>
      </c>
      <c r="M262" s="4">
        <v>4.220155709686E12</v>
      </c>
      <c r="N262" s="6">
        <v>24352.0</v>
      </c>
      <c r="O262" s="4" t="s">
        <v>1845</v>
      </c>
      <c r="P262" s="4" t="s">
        <v>1972</v>
      </c>
      <c r="Q262" s="4" t="s">
        <v>119</v>
      </c>
      <c r="R262" s="7" t="s">
        <v>1847</v>
      </c>
      <c r="S262" s="7" t="s">
        <v>1847</v>
      </c>
      <c r="T262" s="4" t="s">
        <v>1958</v>
      </c>
      <c r="U262" s="4" t="s">
        <v>498</v>
      </c>
      <c r="V262" s="4" t="s">
        <v>1856</v>
      </c>
      <c r="W262" s="4">
        <v>4.250188114763E12</v>
      </c>
      <c r="X262" s="4" t="s">
        <v>87</v>
      </c>
      <c r="Y262" s="7" t="s">
        <v>1840</v>
      </c>
      <c r="Z262" s="4" t="s">
        <v>1957</v>
      </c>
      <c r="AA262" s="4" t="s">
        <v>1973</v>
      </c>
      <c r="AB262" s="8"/>
    </row>
    <row r="263" ht="22.5" customHeight="1">
      <c r="A263" s="3">
        <v>46195.70600877315</v>
      </c>
      <c r="B263" s="4">
        <v>2.0</v>
      </c>
      <c r="C263" s="5" t="str">
        <f>IFERROR(__xludf.DUMMYFUNCTION("""COMPUTED_VALUE"""),"L55")</f>
        <v>L55</v>
      </c>
      <c r="D263" s="4">
        <v>4.210161143685E12</v>
      </c>
      <c r="E263" s="4" t="s">
        <v>1974</v>
      </c>
      <c r="F263" s="4" t="s">
        <v>45</v>
      </c>
      <c r="G263" s="4" t="s">
        <v>1975</v>
      </c>
      <c r="H263" s="4" t="s">
        <v>313</v>
      </c>
      <c r="I263" s="4" t="s">
        <v>1976</v>
      </c>
      <c r="J263" s="4" t="s">
        <v>33</v>
      </c>
      <c r="K263" s="4" t="s">
        <v>1859</v>
      </c>
      <c r="L263" s="6">
        <v>48596.0</v>
      </c>
      <c r="M263" s="4">
        <v>4.210161143685E12</v>
      </c>
      <c r="N263" s="6">
        <v>36235.0</v>
      </c>
      <c r="O263" s="4" t="s">
        <v>148</v>
      </c>
      <c r="P263" s="4" t="s">
        <v>1977</v>
      </c>
      <c r="Q263" s="4" t="s">
        <v>52</v>
      </c>
      <c r="R263" s="7" t="s">
        <v>1878</v>
      </c>
      <c r="S263" s="7" t="s">
        <v>1878</v>
      </c>
      <c r="V263" s="4" t="s">
        <v>1978</v>
      </c>
      <c r="W263" s="4">
        <v>4.210115726063E12</v>
      </c>
      <c r="X263" s="4" t="s">
        <v>1009</v>
      </c>
      <c r="Y263" s="7" t="s">
        <v>1979</v>
      </c>
    </row>
    <row r="264" ht="22.5" customHeight="1">
      <c r="A264" s="3">
        <v>46195.7091178125</v>
      </c>
      <c r="B264" s="4">
        <v>2.0</v>
      </c>
      <c r="C264" s="5" t="str">
        <f>IFERROR(__xludf.DUMMYFUNCTION("""COMPUTED_VALUE"""),"L55")</f>
        <v>L55</v>
      </c>
      <c r="D264" s="4">
        <v>4.210161143685E12</v>
      </c>
      <c r="E264" s="4" t="s">
        <v>1974</v>
      </c>
      <c r="F264" s="4" t="s">
        <v>45</v>
      </c>
      <c r="G264" s="4" t="s">
        <v>1974</v>
      </c>
      <c r="H264" s="4" t="s">
        <v>1980</v>
      </c>
      <c r="I264" s="4" t="s">
        <v>1974</v>
      </c>
      <c r="J264" s="4" t="s">
        <v>60</v>
      </c>
      <c r="K264" s="4" t="s">
        <v>1981</v>
      </c>
      <c r="L264" s="6">
        <v>48596.0</v>
      </c>
      <c r="M264" s="4">
        <v>4.210191176216E12</v>
      </c>
      <c r="N264" s="6">
        <v>36479.0</v>
      </c>
      <c r="O264" s="4" t="s">
        <v>35</v>
      </c>
      <c r="P264" s="4" t="s">
        <v>1977</v>
      </c>
      <c r="Q264" s="4" t="s">
        <v>119</v>
      </c>
      <c r="R264" s="7" t="s">
        <v>1862</v>
      </c>
      <c r="S264" s="7" t="s">
        <v>1862</v>
      </c>
      <c r="T264" s="4" t="s">
        <v>1974</v>
      </c>
      <c r="U264" s="4" t="s">
        <v>270</v>
      </c>
      <c r="V264" s="4" t="s">
        <v>1976</v>
      </c>
      <c r="W264" s="4">
        <v>4.210115726063E12</v>
      </c>
      <c r="X264" s="4" t="s">
        <v>1004</v>
      </c>
      <c r="Y264" s="7" t="s">
        <v>1979</v>
      </c>
    </row>
    <row r="265" ht="22.5" customHeight="1">
      <c r="A265" s="3">
        <v>46195.80869387732</v>
      </c>
      <c r="B265" s="7" t="s">
        <v>1982</v>
      </c>
      <c r="C265" s="5" t="str">
        <f>IFERROR(__xludf.DUMMYFUNCTION("""COMPUTED_VALUE"""),"S51")</f>
        <v>S51</v>
      </c>
      <c r="D265" s="4">
        <v>4.200003598313E12</v>
      </c>
      <c r="E265" s="4" t="s">
        <v>1983</v>
      </c>
      <c r="F265" s="4" t="s">
        <v>29</v>
      </c>
      <c r="G265" s="4" t="s">
        <v>1984</v>
      </c>
      <c r="H265" s="4" t="s">
        <v>291</v>
      </c>
      <c r="I265" s="4" t="s">
        <v>1985</v>
      </c>
      <c r="J265" s="4" t="s">
        <v>33</v>
      </c>
      <c r="K265" s="4" t="s">
        <v>1986</v>
      </c>
      <c r="L265" s="6">
        <v>48846.0</v>
      </c>
      <c r="M265" s="4">
        <v>4.200003598313E12</v>
      </c>
      <c r="N265" s="6">
        <v>35969.0</v>
      </c>
      <c r="O265" s="4" t="s">
        <v>1298</v>
      </c>
      <c r="P265" s="4" t="s">
        <v>1987</v>
      </c>
      <c r="Q265" s="4" t="s">
        <v>133</v>
      </c>
      <c r="R265" s="7" t="s">
        <v>1988</v>
      </c>
      <c r="S265" s="7" t="s">
        <v>1989</v>
      </c>
      <c r="V265" s="4" t="s">
        <v>1985</v>
      </c>
      <c r="W265" s="4">
        <v>4.230195664681E12</v>
      </c>
      <c r="X265" s="4" t="s">
        <v>1009</v>
      </c>
      <c r="Y265" s="7" t="s">
        <v>1990</v>
      </c>
      <c r="Z265" s="4" t="s">
        <v>1991</v>
      </c>
      <c r="AA265" s="4" t="s">
        <v>1983</v>
      </c>
    </row>
    <row r="266" ht="22.5" customHeight="1">
      <c r="A266" s="3">
        <v>46195.81128900463</v>
      </c>
      <c r="B266" s="7" t="s">
        <v>1982</v>
      </c>
      <c r="C266" s="5" t="str">
        <f>IFERROR(__xludf.DUMMYFUNCTION("""COMPUTED_VALUE"""),"S51")</f>
        <v>S51</v>
      </c>
      <c r="D266" s="4">
        <v>4.200003598313E12</v>
      </c>
      <c r="E266" s="4" t="s">
        <v>1983</v>
      </c>
      <c r="F266" s="4" t="s">
        <v>29</v>
      </c>
      <c r="G266" s="4" t="s">
        <v>1992</v>
      </c>
      <c r="H266" s="4" t="s">
        <v>1993</v>
      </c>
      <c r="I266" s="4" t="s">
        <v>1985</v>
      </c>
      <c r="J266" s="4" t="s">
        <v>60</v>
      </c>
      <c r="K266" s="4" t="s">
        <v>1994</v>
      </c>
      <c r="L266" s="6">
        <v>49227.0</v>
      </c>
      <c r="M266" s="4">
        <v>4.200041916824E12</v>
      </c>
      <c r="N266" s="6">
        <v>28490.0</v>
      </c>
      <c r="O266" s="4" t="s">
        <v>1298</v>
      </c>
      <c r="P266" s="4" t="s">
        <v>1987</v>
      </c>
      <c r="Q266" s="4" t="s">
        <v>133</v>
      </c>
      <c r="R266" s="7" t="s">
        <v>1995</v>
      </c>
      <c r="S266" s="7" t="s">
        <v>1995</v>
      </c>
      <c r="T266" s="4" t="s">
        <v>1983</v>
      </c>
      <c r="U266" s="4" t="s">
        <v>272</v>
      </c>
      <c r="V266" s="4" t="s">
        <v>1985</v>
      </c>
      <c r="W266" s="4">
        <v>4.230195664681E12</v>
      </c>
      <c r="X266" s="4" t="s">
        <v>270</v>
      </c>
      <c r="Y266" s="7" t="s">
        <v>1990</v>
      </c>
      <c r="Z266" s="4" t="s">
        <v>1991</v>
      </c>
      <c r="AA266" s="4" t="s">
        <v>1983</v>
      </c>
    </row>
    <row r="267" ht="22.5" customHeight="1">
      <c r="A267" s="3">
        <v>46195.81411577546</v>
      </c>
      <c r="B267" s="4">
        <v>2.0</v>
      </c>
      <c r="C267" s="5" t="str">
        <f>IFERROR(__xludf.DUMMYFUNCTION("""COMPUTED_VALUE"""),"L61")</f>
        <v>L61</v>
      </c>
      <c r="D267" s="4">
        <v>4.230110157327E12</v>
      </c>
      <c r="E267" s="4" t="s">
        <v>1996</v>
      </c>
      <c r="F267" s="4" t="s">
        <v>45</v>
      </c>
      <c r="G267" s="4" t="s">
        <v>554</v>
      </c>
      <c r="H267" s="4" t="s">
        <v>1997</v>
      </c>
      <c r="I267" s="4" t="s">
        <v>1998</v>
      </c>
      <c r="J267" s="4" t="s">
        <v>33</v>
      </c>
      <c r="M267" s="4">
        <v>4.230110157327E12</v>
      </c>
      <c r="N267" s="6">
        <v>29299.0</v>
      </c>
      <c r="O267" s="4" t="s">
        <v>148</v>
      </c>
      <c r="P267" s="4" t="s">
        <v>1999</v>
      </c>
      <c r="Q267" s="4" t="s">
        <v>37</v>
      </c>
      <c r="R267" s="7" t="s">
        <v>2000</v>
      </c>
      <c r="S267" s="7" t="s">
        <v>2000</v>
      </c>
      <c r="V267" s="4" t="s">
        <v>2001</v>
      </c>
      <c r="W267" s="4">
        <v>4.230173350571E12</v>
      </c>
      <c r="X267" s="4" t="s">
        <v>79</v>
      </c>
      <c r="Y267" s="7" t="s">
        <v>2002</v>
      </c>
      <c r="Z267" s="4" t="s">
        <v>2003</v>
      </c>
      <c r="AA267" s="4" t="s">
        <v>2004</v>
      </c>
    </row>
    <row r="268" ht="22.5" customHeight="1">
      <c r="A268" s="3">
        <v>46195.86003589121</v>
      </c>
      <c r="B268" s="4">
        <v>2.0</v>
      </c>
      <c r="C268" s="5" t="str">
        <f>IFERROR(__xludf.DUMMYFUNCTION("""COMPUTED_VALUE"""),"L61")</f>
        <v>L61</v>
      </c>
      <c r="D268" s="4">
        <v>4.230110157327E12</v>
      </c>
      <c r="E268" s="4" t="s">
        <v>1996</v>
      </c>
      <c r="F268" s="4" t="s">
        <v>45</v>
      </c>
      <c r="G268" s="4" t="s">
        <v>2005</v>
      </c>
      <c r="H268" s="4" t="s">
        <v>1700</v>
      </c>
      <c r="I268" s="4" t="s">
        <v>1996</v>
      </c>
      <c r="J268" s="4" t="s">
        <v>60</v>
      </c>
      <c r="M268" s="4">
        <v>4.230184395348E12</v>
      </c>
      <c r="N268" s="6">
        <v>33711.0</v>
      </c>
      <c r="O268" s="4" t="s">
        <v>148</v>
      </c>
      <c r="P268" s="4" t="s">
        <v>2006</v>
      </c>
      <c r="Q268" s="4" t="s">
        <v>37</v>
      </c>
      <c r="R268" s="7" t="s">
        <v>2007</v>
      </c>
      <c r="S268" s="7" t="s">
        <v>2007</v>
      </c>
      <c r="T268" s="4" t="s">
        <v>1996</v>
      </c>
      <c r="U268" s="4" t="s">
        <v>193</v>
      </c>
      <c r="V268" s="4" t="s">
        <v>2008</v>
      </c>
      <c r="W268" s="4">
        <v>4.230108637146E12</v>
      </c>
      <c r="X268" s="4" t="s">
        <v>667</v>
      </c>
      <c r="Y268" s="7" t="s">
        <v>2009</v>
      </c>
    </row>
    <row r="269" ht="22.5" customHeight="1">
      <c r="A269" s="3">
        <v>46195.86811946759</v>
      </c>
      <c r="B269" s="4">
        <v>5.0</v>
      </c>
      <c r="C269" s="5" t="str">
        <f>IFERROR(__xludf.DUMMYFUNCTION("""COMPUTED_VALUE"""),"")</f>
        <v/>
      </c>
      <c r="E269" s="4" t="s">
        <v>2010</v>
      </c>
      <c r="F269" s="4" t="s">
        <v>45</v>
      </c>
      <c r="G269" s="4" t="s">
        <v>2011</v>
      </c>
      <c r="H269" s="4" t="s">
        <v>964</v>
      </c>
      <c r="I269" s="4" t="s">
        <v>2010</v>
      </c>
      <c r="J269" s="4" t="s">
        <v>33</v>
      </c>
      <c r="M269" s="4" t="s">
        <v>2012</v>
      </c>
      <c r="N269" s="6">
        <v>37383.0</v>
      </c>
      <c r="O269" s="4" t="s">
        <v>35</v>
      </c>
      <c r="P269" s="4" t="s">
        <v>2013</v>
      </c>
      <c r="Q269" s="4" t="s">
        <v>37</v>
      </c>
      <c r="R269" s="7" t="s">
        <v>2014</v>
      </c>
      <c r="S269" s="7" t="s">
        <v>2014</v>
      </c>
      <c r="V269" s="4" t="s">
        <v>2010</v>
      </c>
      <c r="W269" s="4" t="s">
        <v>2015</v>
      </c>
      <c r="X269" s="4" t="s">
        <v>40</v>
      </c>
      <c r="Y269" s="7" t="s">
        <v>2016</v>
      </c>
    </row>
    <row r="270" ht="22.5" customHeight="1">
      <c r="A270" s="3">
        <v>46195.873484895834</v>
      </c>
      <c r="B270" s="4">
        <v>2.0</v>
      </c>
      <c r="C270" s="5" t="str">
        <f>IFERROR(__xludf.DUMMYFUNCTION("""COMPUTED_VALUE"""),"L62")</f>
        <v>L62</v>
      </c>
      <c r="D270" s="4">
        <v>4.220103684657E12</v>
      </c>
      <c r="E270" s="4" t="s">
        <v>2017</v>
      </c>
      <c r="F270" s="4" t="s">
        <v>45</v>
      </c>
      <c r="G270" s="4" t="s">
        <v>2018</v>
      </c>
      <c r="H270" s="4" t="s">
        <v>2017</v>
      </c>
      <c r="I270" s="4" t="s">
        <v>2019</v>
      </c>
      <c r="J270" s="4" t="s">
        <v>33</v>
      </c>
      <c r="K270" s="4" t="s">
        <v>2020</v>
      </c>
      <c r="L270" s="6">
        <v>47707.0</v>
      </c>
      <c r="M270" s="4">
        <v>4.220103684657E12</v>
      </c>
      <c r="N270" s="6">
        <v>32037.0</v>
      </c>
      <c r="O270" s="4" t="s">
        <v>330</v>
      </c>
      <c r="P270" s="4" t="s">
        <v>2021</v>
      </c>
      <c r="Q270" s="4" t="s">
        <v>37</v>
      </c>
      <c r="R270" s="7" t="s">
        <v>2022</v>
      </c>
      <c r="S270" s="7" t="s">
        <v>2022</v>
      </c>
      <c r="V270" s="4" t="s">
        <v>2023</v>
      </c>
      <c r="W270" s="4" t="s">
        <v>2024</v>
      </c>
      <c r="X270" s="4" t="s">
        <v>2025</v>
      </c>
      <c r="Y270" s="7" t="s">
        <v>2026</v>
      </c>
      <c r="Z270" s="4" t="s">
        <v>2027</v>
      </c>
      <c r="AA270" s="4" t="s">
        <v>2017</v>
      </c>
    </row>
    <row r="271" ht="22.5" customHeight="1">
      <c r="A271" s="3">
        <v>46195.87542321759</v>
      </c>
      <c r="B271" s="4">
        <v>2.0</v>
      </c>
      <c r="C271" s="5" t="str">
        <f>IFERROR(__xludf.DUMMYFUNCTION("""COMPUTED_VALUE"""),"S52")</f>
        <v>S52</v>
      </c>
      <c r="D271" s="4">
        <v>4.210104786677E12</v>
      </c>
      <c r="E271" s="4" t="s">
        <v>2028</v>
      </c>
      <c r="F271" s="4" t="s">
        <v>29</v>
      </c>
      <c r="G271" s="4" t="s">
        <v>2029</v>
      </c>
      <c r="H271" s="4" t="s">
        <v>2028</v>
      </c>
      <c r="I271" s="4" t="s">
        <v>1789</v>
      </c>
      <c r="J271" s="4" t="s">
        <v>33</v>
      </c>
      <c r="M271" s="4">
        <v>4.210104786677E12</v>
      </c>
      <c r="N271" s="6">
        <v>32154.0</v>
      </c>
      <c r="O271" s="4" t="s">
        <v>512</v>
      </c>
      <c r="P271" s="4" t="s">
        <v>545</v>
      </c>
      <c r="Q271" s="4" t="s">
        <v>119</v>
      </c>
      <c r="R271" s="7" t="s">
        <v>2030</v>
      </c>
      <c r="S271" s="7" t="s">
        <v>2030</v>
      </c>
      <c r="V271" s="4" t="s">
        <v>2031</v>
      </c>
      <c r="W271" s="4">
        <v>4.210143977787E12</v>
      </c>
      <c r="X271" s="4" t="s">
        <v>79</v>
      </c>
      <c r="Y271" s="7" t="s">
        <v>2032</v>
      </c>
      <c r="Z271" s="7" t="s">
        <v>2033</v>
      </c>
      <c r="AA271" s="4" t="s">
        <v>2028</v>
      </c>
    </row>
    <row r="272" ht="22.5" customHeight="1">
      <c r="A272" s="3">
        <v>46195.87811523148</v>
      </c>
      <c r="B272" s="4">
        <v>2.0</v>
      </c>
      <c r="C272" s="5" t="str">
        <f>IFERROR(__xludf.DUMMYFUNCTION("""COMPUTED_VALUE"""),"L63")</f>
        <v>L63</v>
      </c>
      <c r="D272" s="4">
        <v>4.210141923443E12</v>
      </c>
      <c r="E272" s="4" t="s">
        <v>2034</v>
      </c>
      <c r="F272" s="4" t="s">
        <v>45</v>
      </c>
      <c r="G272" s="4" t="s">
        <v>554</v>
      </c>
      <c r="H272" s="4" t="s">
        <v>2035</v>
      </c>
      <c r="I272" s="4" t="s">
        <v>2036</v>
      </c>
      <c r="J272" s="4" t="s">
        <v>33</v>
      </c>
      <c r="K272" s="4" t="s">
        <v>2037</v>
      </c>
      <c r="L272" s="6">
        <v>49525.0</v>
      </c>
      <c r="M272" s="4">
        <v>4.210141923443E12</v>
      </c>
      <c r="N272" s="6">
        <v>34762.0</v>
      </c>
      <c r="O272" s="4" t="s">
        <v>512</v>
      </c>
      <c r="P272" s="4" t="s">
        <v>2038</v>
      </c>
      <c r="Q272" s="4" t="s">
        <v>431</v>
      </c>
      <c r="R272" s="7" t="s">
        <v>2039</v>
      </c>
      <c r="S272" s="7" t="s">
        <v>2039</v>
      </c>
      <c r="V272" s="4" t="s">
        <v>2036</v>
      </c>
      <c r="W272" s="4">
        <v>4.210115296689E12</v>
      </c>
      <c r="X272" s="4" t="s">
        <v>630</v>
      </c>
      <c r="Y272" s="7" t="s">
        <v>2040</v>
      </c>
      <c r="Z272" s="4" t="s">
        <v>2041</v>
      </c>
      <c r="AA272" s="4" t="s">
        <v>2042</v>
      </c>
    </row>
    <row r="273" ht="22.5" customHeight="1">
      <c r="A273" s="3">
        <v>46195.8793805787</v>
      </c>
      <c r="B273" s="4">
        <v>2.0</v>
      </c>
      <c r="C273" s="5" t="str">
        <f>IFERROR(__xludf.DUMMYFUNCTION("""COMPUTED_VALUE"""),"S52")</f>
        <v>S52</v>
      </c>
      <c r="D273" s="4">
        <v>4.210104786677E12</v>
      </c>
      <c r="E273" s="4" t="s">
        <v>2028</v>
      </c>
      <c r="F273" s="4" t="s">
        <v>29</v>
      </c>
      <c r="G273" s="4" t="s">
        <v>1736</v>
      </c>
      <c r="H273" s="4" t="s">
        <v>2043</v>
      </c>
      <c r="I273" s="4" t="s">
        <v>2028</v>
      </c>
      <c r="J273" s="4" t="s">
        <v>60</v>
      </c>
      <c r="M273" s="4">
        <v>4.210113300454E12</v>
      </c>
      <c r="N273" s="6">
        <v>35006.0</v>
      </c>
      <c r="O273" s="4" t="s">
        <v>512</v>
      </c>
      <c r="P273" s="4" t="s">
        <v>2044</v>
      </c>
      <c r="Q273" s="4" t="s">
        <v>119</v>
      </c>
      <c r="R273" s="7" t="s">
        <v>2030</v>
      </c>
      <c r="S273" s="7" t="s">
        <v>2030</v>
      </c>
      <c r="T273" s="4" t="s">
        <v>2028</v>
      </c>
      <c r="U273" s="4" t="s">
        <v>67</v>
      </c>
      <c r="V273" s="4" t="s">
        <v>2045</v>
      </c>
      <c r="W273" s="4">
        <v>4.210143977787E12</v>
      </c>
      <c r="X273" s="4" t="s">
        <v>1950</v>
      </c>
      <c r="Y273" s="7" t="s">
        <v>2032</v>
      </c>
      <c r="Z273" s="7" t="s">
        <v>2033</v>
      </c>
      <c r="AA273" s="4" t="s">
        <v>2028</v>
      </c>
    </row>
    <row r="274" ht="22.5" customHeight="1">
      <c r="A274" s="3">
        <v>46195.879481909724</v>
      </c>
      <c r="B274" s="4">
        <v>2.0</v>
      </c>
      <c r="C274" s="5" t="str">
        <f>IFERROR(__xludf.DUMMYFUNCTION("""COMPUTED_VALUE"""),"L62")</f>
        <v>L62</v>
      </c>
      <c r="D274" s="4">
        <v>4.220103684657E12</v>
      </c>
      <c r="E274" s="4" t="s">
        <v>2017</v>
      </c>
      <c r="F274" s="4" t="s">
        <v>45</v>
      </c>
      <c r="G274" s="4" t="s">
        <v>2046</v>
      </c>
      <c r="H274" s="4" t="s">
        <v>2047</v>
      </c>
      <c r="I274" s="4" t="s">
        <v>2017</v>
      </c>
      <c r="J274" s="4" t="s">
        <v>60</v>
      </c>
      <c r="K274" s="4" t="s">
        <v>2048</v>
      </c>
      <c r="L274" s="6">
        <v>47707.0</v>
      </c>
      <c r="M274" s="4">
        <v>4.23016724638E12</v>
      </c>
      <c r="N274" s="6">
        <v>33615.0</v>
      </c>
      <c r="O274" s="4" t="s">
        <v>2049</v>
      </c>
      <c r="P274" s="4" t="s">
        <v>2050</v>
      </c>
      <c r="Q274" s="4" t="s">
        <v>133</v>
      </c>
      <c r="R274" s="7" t="s">
        <v>2051</v>
      </c>
      <c r="S274" s="7" t="s">
        <v>2051</v>
      </c>
      <c r="T274" s="4" t="s">
        <v>2017</v>
      </c>
      <c r="U274" s="4" t="s">
        <v>65</v>
      </c>
      <c r="V274" s="4" t="s">
        <v>2052</v>
      </c>
      <c r="W274" s="4">
        <v>4.230159622787E12</v>
      </c>
      <c r="X274" s="4" t="s">
        <v>79</v>
      </c>
      <c r="Y274" s="7" t="s">
        <v>2026</v>
      </c>
      <c r="Z274" s="4" t="s">
        <v>2027</v>
      </c>
      <c r="AA274" s="4" t="s">
        <v>2017</v>
      </c>
    </row>
    <row r="275" ht="22.5" customHeight="1">
      <c r="A275" s="3">
        <v>46195.88366702547</v>
      </c>
      <c r="B275" s="4">
        <v>2.0</v>
      </c>
      <c r="C275" s="5" t="str">
        <f>IFERROR(__xludf.DUMMYFUNCTION("""COMPUTED_VALUE"""),"L63")</f>
        <v>L63</v>
      </c>
      <c r="D275" s="4" t="s">
        <v>2053</v>
      </c>
      <c r="E275" s="4" t="s">
        <v>2034</v>
      </c>
      <c r="F275" s="4" t="s">
        <v>45</v>
      </c>
      <c r="G275" s="4" t="s">
        <v>2054</v>
      </c>
      <c r="H275" s="4" t="s">
        <v>2055</v>
      </c>
      <c r="I275" s="4" t="s">
        <v>2056</v>
      </c>
      <c r="J275" s="4" t="s">
        <v>60</v>
      </c>
      <c r="K275" s="4" t="s">
        <v>2057</v>
      </c>
      <c r="L275" s="6">
        <v>49525.0</v>
      </c>
      <c r="M275" s="4" t="s">
        <v>2058</v>
      </c>
      <c r="N275" s="6">
        <v>36393.0</v>
      </c>
      <c r="O275" s="4" t="s">
        <v>758</v>
      </c>
      <c r="P275" s="4" t="s">
        <v>2059</v>
      </c>
      <c r="Q275" s="4" t="s">
        <v>133</v>
      </c>
      <c r="R275" s="4" t="s">
        <v>2060</v>
      </c>
      <c r="S275" s="7" t="s">
        <v>2061</v>
      </c>
      <c r="T275" s="4" t="s">
        <v>2056</v>
      </c>
      <c r="U275" s="4" t="s">
        <v>65</v>
      </c>
      <c r="V275" s="4" t="s">
        <v>2062</v>
      </c>
      <c r="W275" s="4" t="s">
        <v>2063</v>
      </c>
      <c r="X275" s="4" t="s">
        <v>40</v>
      </c>
      <c r="Y275" s="7" t="s">
        <v>2064</v>
      </c>
      <c r="Z275" s="4" t="s">
        <v>2041</v>
      </c>
      <c r="AA275" s="4" t="s">
        <v>2056</v>
      </c>
    </row>
    <row r="276" ht="22.5" customHeight="1">
      <c r="A276" s="3">
        <v>46195.908865324076</v>
      </c>
      <c r="B276" s="4">
        <v>2.0</v>
      </c>
      <c r="C276" s="5" t="str">
        <f>IFERROR(__xludf.DUMMYFUNCTION("""COMPUTED_VALUE"""),"L64")</f>
        <v>L64</v>
      </c>
      <c r="D276" s="4" t="s">
        <v>2065</v>
      </c>
      <c r="E276" s="4" t="s">
        <v>2066</v>
      </c>
      <c r="F276" s="4" t="s">
        <v>45</v>
      </c>
      <c r="G276" s="4" t="s">
        <v>2067</v>
      </c>
      <c r="H276" s="4" t="s">
        <v>2066</v>
      </c>
      <c r="I276" s="4" t="s">
        <v>2068</v>
      </c>
      <c r="J276" s="4" t="s">
        <v>33</v>
      </c>
      <c r="K276" s="4" t="s">
        <v>2069</v>
      </c>
      <c r="L276" s="6">
        <v>49600.0</v>
      </c>
      <c r="M276" s="4" t="s">
        <v>2065</v>
      </c>
      <c r="N276" s="6">
        <v>28887.0</v>
      </c>
      <c r="O276" s="4" t="s">
        <v>529</v>
      </c>
      <c r="P276" s="4" t="s">
        <v>2070</v>
      </c>
      <c r="Q276" s="4" t="s">
        <v>52</v>
      </c>
      <c r="R276" s="7" t="s">
        <v>2071</v>
      </c>
      <c r="S276" s="7" t="s">
        <v>2071</v>
      </c>
      <c r="V276" s="4" t="s">
        <v>2072</v>
      </c>
      <c r="W276" s="4" t="s">
        <v>2073</v>
      </c>
      <c r="X276" s="4" t="s">
        <v>667</v>
      </c>
      <c r="Y276" s="7" t="s">
        <v>2074</v>
      </c>
      <c r="Z276" s="4" t="s">
        <v>2075</v>
      </c>
      <c r="AA276" s="4" t="s">
        <v>2076</v>
      </c>
    </row>
    <row r="277" ht="22.5" customHeight="1">
      <c r="A277" s="3">
        <v>46195.91141126158</v>
      </c>
      <c r="B277" s="4">
        <v>2.0</v>
      </c>
      <c r="C277" s="5" t="str">
        <f>IFERROR(__xludf.DUMMYFUNCTION("""COMPUTED_VALUE"""),"L64")</f>
        <v>L64</v>
      </c>
      <c r="D277" s="4" t="s">
        <v>2065</v>
      </c>
      <c r="E277" s="4" t="s">
        <v>2066</v>
      </c>
      <c r="F277" s="4" t="s">
        <v>45</v>
      </c>
      <c r="G277" s="4" t="s">
        <v>2077</v>
      </c>
      <c r="H277" s="4" t="s">
        <v>2078</v>
      </c>
      <c r="I277" s="4" t="s">
        <v>2066</v>
      </c>
      <c r="J277" s="4" t="s">
        <v>60</v>
      </c>
      <c r="K277" s="4" t="s">
        <v>2079</v>
      </c>
      <c r="L277" s="6">
        <v>49600.0</v>
      </c>
      <c r="M277" s="4" t="s">
        <v>2080</v>
      </c>
      <c r="N277" s="6">
        <v>29259.0</v>
      </c>
      <c r="O277" s="4" t="s">
        <v>529</v>
      </c>
      <c r="P277" s="4" t="s">
        <v>2081</v>
      </c>
      <c r="Q277" s="4" t="s">
        <v>37</v>
      </c>
      <c r="R277" s="7" t="s">
        <v>2082</v>
      </c>
      <c r="S277" s="7" t="s">
        <v>2082</v>
      </c>
      <c r="T277" s="4" t="s">
        <v>2066</v>
      </c>
      <c r="U277" s="4" t="s">
        <v>193</v>
      </c>
      <c r="V277" s="4" t="s">
        <v>2072</v>
      </c>
      <c r="W277" s="4" t="s">
        <v>2073</v>
      </c>
      <c r="X277" s="4" t="s">
        <v>667</v>
      </c>
      <c r="Y277" s="7" t="s">
        <v>2074</v>
      </c>
      <c r="Z277" s="4" t="s">
        <v>2075</v>
      </c>
      <c r="AA277" s="4" t="s">
        <v>2076</v>
      </c>
    </row>
    <row r="278" ht="22.5" customHeight="1">
      <c r="A278" s="3">
        <v>46195.91277928241</v>
      </c>
      <c r="B278" s="4">
        <v>3.0</v>
      </c>
      <c r="C278" s="5" t="str">
        <f>IFERROR(__xludf.DUMMYFUNCTION("""COMPUTED_VALUE"""),"S53")</f>
        <v>S53</v>
      </c>
      <c r="D278" s="4">
        <v>4.230161158849E12</v>
      </c>
      <c r="E278" s="4" t="s">
        <v>517</v>
      </c>
      <c r="F278" s="4" t="s">
        <v>29</v>
      </c>
      <c r="G278" s="4" t="s">
        <v>516</v>
      </c>
      <c r="H278" s="4" t="s">
        <v>517</v>
      </c>
      <c r="I278" s="4" t="s">
        <v>2083</v>
      </c>
      <c r="J278" s="4" t="s">
        <v>33</v>
      </c>
      <c r="K278" s="4" t="s">
        <v>2084</v>
      </c>
      <c r="L278" s="6">
        <v>47400.0</v>
      </c>
      <c r="M278" s="4">
        <v>4.230161158849E12</v>
      </c>
      <c r="N278" s="6">
        <v>33107.0</v>
      </c>
      <c r="O278" s="4" t="s">
        <v>529</v>
      </c>
      <c r="P278" s="4" t="s">
        <v>2085</v>
      </c>
      <c r="Q278" s="4" t="s">
        <v>37</v>
      </c>
      <c r="R278" s="7" t="s">
        <v>2086</v>
      </c>
      <c r="S278" s="7" t="s">
        <v>2086</v>
      </c>
      <c r="T278" s="4" t="s">
        <v>2087</v>
      </c>
      <c r="U278" s="4" t="s">
        <v>2088</v>
      </c>
      <c r="V278" s="4" t="s">
        <v>2089</v>
      </c>
      <c r="W278" s="4">
        <v>4.230161167399E12</v>
      </c>
      <c r="X278" s="4" t="s">
        <v>310</v>
      </c>
      <c r="Y278" s="7" t="s">
        <v>2090</v>
      </c>
    </row>
    <row r="279" ht="22.5" customHeight="1">
      <c r="A279" s="3">
        <v>46195.935982951385</v>
      </c>
      <c r="B279" s="4">
        <v>2.0</v>
      </c>
      <c r="C279" s="5" t="str">
        <f>IFERROR(__xludf.DUMMYFUNCTION("""COMPUTED_VALUE"""),"L65")</f>
        <v>L65</v>
      </c>
      <c r="D279" s="4" t="s">
        <v>2091</v>
      </c>
      <c r="E279" s="4" t="s">
        <v>2092</v>
      </c>
      <c r="F279" s="4" t="s">
        <v>45</v>
      </c>
      <c r="G279" s="4" t="s">
        <v>2093</v>
      </c>
      <c r="H279" s="4" t="s">
        <v>2093</v>
      </c>
      <c r="I279" s="4" t="s">
        <v>2094</v>
      </c>
      <c r="J279" s="4" t="s">
        <v>33</v>
      </c>
      <c r="K279" s="4" t="s">
        <v>2095</v>
      </c>
      <c r="M279" s="4" t="s">
        <v>2091</v>
      </c>
      <c r="N279" s="6">
        <v>26481.0</v>
      </c>
      <c r="O279" s="4" t="s">
        <v>160</v>
      </c>
      <c r="P279" s="4" t="s">
        <v>2096</v>
      </c>
      <c r="Q279" s="4" t="s">
        <v>52</v>
      </c>
      <c r="R279" s="4" t="s">
        <v>2097</v>
      </c>
      <c r="S279" s="4" t="s">
        <v>2097</v>
      </c>
      <c r="V279" s="4" t="s">
        <v>2093</v>
      </c>
      <c r="W279" s="4" t="s">
        <v>2091</v>
      </c>
      <c r="X279" s="4" t="s">
        <v>2098</v>
      </c>
      <c r="Y279" s="4" t="s">
        <v>2097</v>
      </c>
    </row>
    <row r="280" ht="22.5" customHeight="1">
      <c r="A280" s="3">
        <v>46195.94592105324</v>
      </c>
      <c r="B280" s="4">
        <v>2.0</v>
      </c>
      <c r="C280" s="5" t="str">
        <f>IFERROR(__xludf.DUMMYFUNCTION("""COMPUTED_VALUE"""),"L65")</f>
        <v>L65</v>
      </c>
      <c r="D280" s="4" t="s">
        <v>2091</v>
      </c>
      <c r="E280" s="4" t="s">
        <v>2099</v>
      </c>
      <c r="F280" s="4" t="s">
        <v>45</v>
      </c>
      <c r="G280" s="4" t="s">
        <v>2093</v>
      </c>
      <c r="H280" s="4" t="s">
        <v>2100</v>
      </c>
      <c r="I280" s="4" t="s">
        <v>2099</v>
      </c>
      <c r="J280" s="4" t="s">
        <v>60</v>
      </c>
      <c r="K280" s="4" t="s">
        <v>2101</v>
      </c>
      <c r="M280" s="4" t="s">
        <v>2102</v>
      </c>
      <c r="N280" s="6">
        <v>27745.0</v>
      </c>
      <c r="O280" s="4" t="s">
        <v>160</v>
      </c>
      <c r="P280" s="4" t="s">
        <v>2103</v>
      </c>
      <c r="Q280" s="4" t="s">
        <v>52</v>
      </c>
      <c r="R280" s="4" t="s">
        <v>2097</v>
      </c>
      <c r="S280" s="4" t="s">
        <v>2097</v>
      </c>
      <c r="T280" s="4" t="s">
        <v>2099</v>
      </c>
      <c r="U280" s="4" t="s">
        <v>67</v>
      </c>
      <c r="V280" s="4" t="s">
        <v>2099</v>
      </c>
      <c r="W280" s="4" t="s">
        <v>2091</v>
      </c>
      <c r="X280" s="4" t="s">
        <v>2099</v>
      </c>
      <c r="Y280" s="4" t="s">
        <v>2097</v>
      </c>
    </row>
    <row r="281" ht="22.5" customHeight="1">
      <c r="A281" s="3">
        <v>46195.96982925926</v>
      </c>
      <c r="B281" s="4">
        <v>3.0</v>
      </c>
      <c r="C281" s="5" t="str">
        <f>IFERROR(__xludf.DUMMYFUNCTION("""COMPUTED_VALUE"""),"L66")</f>
        <v>L66</v>
      </c>
      <c r="D281" s="4" t="s">
        <v>2104</v>
      </c>
      <c r="E281" s="4" t="s">
        <v>2105</v>
      </c>
      <c r="F281" s="4" t="s">
        <v>45</v>
      </c>
      <c r="G281" s="4" t="s">
        <v>2106</v>
      </c>
      <c r="H281" s="4" t="s">
        <v>31</v>
      </c>
      <c r="I281" s="4" t="s">
        <v>1750</v>
      </c>
      <c r="J281" s="4" t="s">
        <v>33</v>
      </c>
      <c r="K281" s="4" t="s">
        <v>2107</v>
      </c>
      <c r="L281" s="6">
        <v>48596.0</v>
      </c>
      <c r="M281" s="4" t="s">
        <v>2108</v>
      </c>
      <c r="N281" s="6">
        <v>34913.0</v>
      </c>
      <c r="O281" s="4" t="s">
        <v>117</v>
      </c>
      <c r="P281" s="4" t="s">
        <v>2109</v>
      </c>
      <c r="Q281" s="4" t="s">
        <v>133</v>
      </c>
      <c r="R281" s="7" t="s">
        <v>2110</v>
      </c>
      <c r="S281" s="7" t="s">
        <v>2110</v>
      </c>
      <c r="V281" s="4" t="s">
        <v>1750</v>
      </c>
      <c r="W281" s="4" t="s">
        <v>2111</v>
      </c>
      <c r="X281" s="4" t="s">
        <v>40</v>
      </c>
      <c r="Y281" s="7" t="s">
        <v>2112</v>
      </c>
      <c r="Z281" s="7" t="s">
        <v>2113</v>
      </c>
      <c r="AA281" s="4" t="s">
        <v>2105</v>
      </c>
    </row>
    <row r="282" ht="22.5" customHeight="1">
      <c r="A282" s="3">
        <v>46195.9753743287</v>
      </c>
      <c r="B282" s="4">
        <v>3.0</v>
      </c>
      <c r="C282" s="5" t="str">
        <f>IFERROR(__xludf.DUMMYFUNCTION("""COMPUTED_VALUE"""),"")</f>
        <v/>
      </c>
      <c r="E282" s="4" t="s">
        <v>2105</v>
      </c>
      <c r="F282" s="4" t="s">
        <v>45</v>
      </c>
      <c r="G282" s="4" t="s">
        <v>2106</v>
      </c>
      <c r="H282" s="4" t="s">
        <v>2114</v>
      </c>
      <c r="I282" s="4" t="s">
        <v>2105</v>
      </c>
      <c r="J282" s="4" t="s">
        <v>60</v>
      </c>
      <c r="K282" s="4" t="s">
        <v>2115</v>
      </c>
      <c r="L282" s="6">
        <v>48596.0</v>
      </c>
      <c r="M282" s="4" t="s">
        <v>2116</v>
      </c>
      <c r="N282" s="6">
        <v>35864.0</v>
      </c>
      <c r="O282" s="4" t="s">
        <v>117</v>
      </c>
      <c r="P282" s="4" t="s">
        <v>2109</v>
      </c>
      <c r="Q282" s="4" t="s">
        <v>37</v>
      </c>
      <c r="R282" s="7" t="s">
        <v>2117</v>
      </c>
      <c r="S282" s="7" t="s">
        <v>2117</v>
      </c>
      <c r="T282" s="4" t="s">
        <v>2105</v>
      </c>
      <c r="U282" s="4" t="s">
        <v>67</v>
      </c>
      <c r="V282" s="4" t="s">
        <v>1750</v>
      </c>
      <c r="W282" s="4" t="s">
        <v>2111</v>
      </c>
      <c r="X282" s="4" t="s">
        <v>40</v>
      </c>
      <c r="Y282" s="7" t="s">
        <v>2112</v>
      </c>
      <c r="Z282" s="7" t="s">
        <v>2113</v>
      </c>
      <c r="AA282" s="4" t="s">
        <v>2105</v>
      </c>
    </row>
    <row r="283" ht="22.5" customHeight="1">
      <c r="A283" s="3">
        <v>46195.97854458333</v>
      </c>
      <c r="B283" s="4">
        <v>3.0</v>
      </c>
      <c r="C283" s="5" t="str">
        <f>IFERROR(__xludf.DUMMYFUNCTION("""COMPUTED_VALUE"""),"")</f>
        <v/>
      </c>
      <c r="E283" s="4" t="s">
        <v>2105</v>
      </c>
      <c r="F283" s="4" t="s">
        <v>45</v>
      </c>
      <c r="G283" s="4" t="s">
        <v>2118</v>
      </c>
      <c r="H283" s="4" t="s">
        <v>1432</v>
      </c>
      <c r="I283" s="4" t="s">
        <v>2119</v>
      </c>
      <c r="J283" s="4" t="s">
        <v>60</v>
      </c>
      <c r="K283" s="4" t="s">
        <v>2120</v>
      </c>
      <c r="L283" s="6">
        <v>48596.0</v>
      </c>
      <c r="M283" s="4" t="s">
        <v>2121</v>
      </c>
      <c r="N283" s="6">
        <v>31803.0</v>
      </c>
      <c r="O283" s="4" t="s">
        <v>2122</v>
      </c>
      <c r="P283" s="4" t="s">
        <v>2109</v>
      </c>
      <c r="Q283" s="4" t="s">
        <v>119</v>
      </c>
      <c r="R283" s="7" t="s">
        <v>2123</v>
      </c>
      <c r="S283" s="7" t="s">
        <v>2123</v>
      </c>
      <c r="T283" s="4" t="s">
        <v>2105</v>
      </c>
      <c r="U283" s="4" t="s">
        <v>587</v>
      </c>
      <c r="V283" s="4" t="s">
        <v>1750</v>
      </c>
      <c r="W283" s="4" t="s">
        <v>2111</v>
      </c>
      <c r="X283" s="4" t="s">
        <v>40</v>
      </c>
      <c r="Y283" s="7" t="s">
        <v>2112</v>
      </c>
      <c r="Z283" s="7" t="s">
        <v>2113</v>
      </c>
      <c r="AA283" s="4" t="s">
        <v>2105</v>
      </c>
    </row>
    <row r="284" ht="22.5" customHeight="1">
      <c r="A284" s="3">
        <v>46195.978683761576</v>
      </c>
      <c r="B284" s="7" t="s">
        <v>1982</v>
      </c>
      <c r="C284" s="5" t="str">
        <f>IFERROR(__xludf.DUMMYFUNCTION("""COMPUTED_VALUE"""),"S54")</f>
        <v>S54</v>
      </c>
      <c r="D284" s="4" t="s">
        <v>2124</v>
      </c>
      <c r="E284" s="4" t="s">
        <v>2062</v>
      </c>
      <c r="F284" s="4" t="s">
        <v>29</v>
      </c>
      <c r="G284" s="4" t="s">
        <v>426</v>
      </c>
      <c r="H284" s="4" t="s">
        <v>31</v>
      </c>
      <c r="I284" s="4" t="s">
        <v>1437</v>
      </c>
      <c r="J284" s="4" t="s">
        <v>33</v>
      </c>
      <c r="K284" s="4" t="s">
        <v>2125</v>
      </c>
      <c r="L284" s="6">
        <v>48011.0</v>
      </c>
      <c r="M284" s="4" t="s">
        <v>2124</v>
      </c>
      <c r="N284" s="6">
        <v>27276.0</v>
      </c>
      <c r="O284" s="4" t="s">
        <v>758</v>
      </c>
      <c r="P284" s="4" t="s">
        <v>2126</v>
      </c>
      <c r="Q284" s="4" t="s">
        <v>37</v>
      </c>
      <c r="R284" s="7" t="s">
        <v>2127</v>
      </c>
      <c r="S284" s="7" t="s">
        <v>2127</v>
      </c>
      <c r="V284" s="4" t="s">
        <v>2128</v>
      </c>
      <c r="W284" s="4" t="s">
        <v>2129</v>
      </c>
      <c r="X284" s="4" t="s">
        <v>282</v>
      </c>
      <c r="Y284" s="7" t="s">
        <v>2130</v>
      </c>
      <c r="Z284" s="4" t="s">
        <v>2131</v>
      </c>
      <c r="AA284" s="4" t="s">
        <v>2132</v>
      </c>
    </row>
    <row r="285" ht="22.5" customHeight="1">
      <c r="A285" s="3">
        <v>46195.97940733796</v>
      </c>
      <c r="B285" s="4">
        <v>3.0</v>
      </c>
      <c r="C285" s="5" t="str">
        <f>IFERROR(__xludf.DUMMYFUNCTION("""COMPUTED_VALUE"""),"L41")</f>
        <v>L41</v>
      </c>
      <c r="D285" s="4">
        <v>4.200077244471E12</v>
      </c>
      <c r="E285" s="4" t="s">
        <v>1377</v>
      </c>
      <c r="F285" s="4" t="s">
        <v>45</v>
      </c>
      <c r="G285" s="4" t="s">
        <v>571</v>
      </c>
      <c r="H285" s="4" t="s">
        <v>251</v>
      </c>
      <c r="I285" s="4" t="s">
        <v>1377</v>
      </c>
      <c r="J285" s="4" t="s">
        <v>33</v>
      </c>
      <c r="K285" s="4" t="s">
        <v>2133</v>
      </c>
      <c r="L285" s="6">
        <v>47370.0</v>
      </c>
      <c r="M285" s="4">
        <v>4.230166705157E12</v>
      </c>
      <c r="N285" s="6">
        <v>39575.0</v>
      </c>
      <c r="O285" s="4" t="s">
        <v>2134</v>
      </c>
      <c r="P285" s="4" t="s">
        <v>2135</v>
      </c>
      <c r="Q285" s="4" t="s">
        <v>37</v>
      </c>
      <c r="R285" s="7" t="s">
        <v>2136</v>
      </c>
      <c r="S285" s="7" t="s">
        <v>2136</v>
      </c>
      <c r="V285" s="4" t="s">
        <v>1287</v>
      </c>
      <c r="W285" s="4">
        <v>4.230119959687E12</v>
      </c>
      <c r="X285" s="4" t="s">
        <v>650</v>
      </c>
      <c r="Y285" s="7" t="s">
        <v>1364</v>
      </c>
      <c r="Z285" s="4" t="s">
        <v>2137</v>
      </c>
      <c r="AA285" s="4" t="s">
        <v>1377</v>
      </c>
    </row>
    <row r="286" ht="22.5" customHeight="1">
      <c r="A286" s="3">
        <v>46195.98189138889</v>
      </c>
      <c r="B286" s="7" t="s">
        <v>1982</v>
      </c>
      <c r="C286" s="5" t="str">
        <f>IFERROR(__xludf.DUMMYFUNCTION("""COMPUTED_VALUE"""),"S54")</f>
        <v>S54</v>
      </c>
      <c r="D286" s="4" t="s">
        <v>2124</v>
      </c>
      <c r="E286" s="4" t="s">
        <v>2062</v>
      </c>
      <c r="F286" s="4" t="s">
        <v>29</v>
      </c>
      <c r="G286" s="4" t="s">
        <v>2138</v>
      </c>
      <c r="H286" s="4" t="s">
        <v>2139</v>
      </c>
      <c r="I286" s="4" t="s">
        <v>2062</v>
      </c>
      <c r="J286" s="4" t="s">
        <v>60</v>
      </c>
      <c r="K286" s="4" t="s">
        <v>2140</v>
      </c>
      <c r="L286" s="6">
        <v>47105.0</v>
      </c>
      <c r="M286" s="4" t="s">
        <v>2141</v>
      </c>
      <c r="N286" s="6">
        <v>30185.0</v>
      </c>
      <c r="O286" s="4" t="s">
        <v>35</v>
      </c>
      <c r="P286" s="4" t="s">
        <v>2142</v>
      </c>
      <c r="Q286" s="4" t="s">
        <v>37</v>
      </c>
      <c r="R286" s="7" t="s">
        <v>2143</v>
      </c>
      <c r="S286" s="7" t="s">
        <v>2143</v>
      </c>
      <c r="T286" s="4" t="s">
        <v>2062</v>
      </c>
      <c r="U286" s="4" t="s">
        <v>65</v>
      </c>
      <c r="V286" s="4" t="s">
        <v>2128</v>
      </c>
      <c r="W286" s="4" t="s">
        <v>2129</v>
      </c>
      <c r="X286" s="4" t="s">
        <v>282</v>
      </c>
      <c r="Y286" s="7" t="s">
        <v>2130</v>
      </c>
      <c r="Z286" s="4" t="s">
        <v>2131</v>
      </c>
      <c r="AA286" s="4" t="s">
        <v>2132</v>
      </c>
    </row>
    <row r="287" ht="22.5" customHeight="1">
      <c r="A287" s="3">
        <v>46195.98567217593</v>
      </c>
      <c r="B287" s="4" t="s">
        <v>2144</v>
      </c>
      <c r="C287" s="5" t="str">
        <f>IFERROR(__xludf.DUMMYFUNCTION("""COMPUTED_VALUE"""),"L67")</f>
        <v>L67</v>
      </c>
      <c r="D287" s="4">
        <v>4.230164071087E12</v>
      </c>
      <c r="E287" s="4" t="s">
        <v>2145</v>
      </c>
      <c r="F287" s="4" t="s">
        <v>45</v>
      </c>
      <c r="G287" s="4" t="s">
        <v>251</v>
      </c>
      <c r="H287" s="4" t="s">
        <v>175</v>
      </c>
      <c r="I287" s="4" t="s">
        <v>83</v>
      </c>
      <c r="J287" s="4" t="s">
        <v>33</v>
      </c>
      <c r="K287" s="4" t="s">
        <v>2146</v>
      </c>
      <c r="L287" s="6">
        <v>47141.0</v>
      </c>
      <c r="M287" s="4">
        <v>4.230164071087E12</v>
      </c>
      <c r="N287" s="6">
        <v>34635.0</v>
      </c>
      <c r="O287" s="4" t="s">
        <v>160</v>
      </c>
      <c r="P287" s="4" t="s">
        <v>2147</v>
      </c>
      <c r="Q287" s="4" t="s">
        <v>37</v>
      </c>
      <c r="R287" s="7" t="s">
        <v>2148</v>
      </c>
      <c r="S287" s="7" t="s">
        <v>2148</v>
      </c>
      <c r="V287" s="4" t="s">
        <v>83</v>
      </c>
      <c r="W287" s="4">
        <v>4.230120198249E12</v>
      </c>
      <c r="X287" s="4" t="s">
        <v>40</v>
      </c>
      <c r="Y287" s="7" t="s">
        <v>2149</v>
      </c>
      <c r="Z287" s="4" t="s">
        <v>2150</v>
      </c>
      <c r="AA287" s="4" t="s">
        <v>2151</v>
      </c>
    </row>
    <row r="288" ht="22.5" customHeight="1">
      <c r="A288" s="3">
        <v>46195.98985503472</v>
      </c>
      <c r="B288" s="4">
        <v>2.0</v>
      </c>
      <c r="C288" s="5" t="str">
        <f>IFERROR(__xludf.DUMMYFUNCTION("""COMPUTED_VALUE"""),"L68")</f>
        <v>L68</v>
      </c>
      <c r="D288" s="4" t="s">
        <v>2152</v>
      </c>
      <c r="E288" s="4" t="s">
        <v>2153</v>
      </c>
      <c r="F288" s="4" t="s">
        <v>45</v>
      </c>
      <c r="G288" s="4" t="s">
        <v>2154</v>
      </c>
      <c r="H288" s="4" t="s">
        <v>31</v>
      </c>
      <c r="I288" s="4" t="s">
        <v>1727</v>
      </c>
      <c r="J288" s="4" t="s">
        <v>33</v>
      </c>
      <c r="K288" s="4" t="s">
        <v>2155</v>
      </c>
      <c r="L288" s="6">
        <v>47351.0</v>
      </c>
      <c r="M288" s="4" t="s">
        <v>2152</v>
      </c>
      <c r="N288" s="6">
        <v>36263.0</v>
      </c>
      <c r="O288" s="4" t="s">
        <v>35</v>
      </c>
      <c r="P288" s="4" t="s">
        <v>2156</v>
      </c>
      <c r="Q288" s="4" t="s">
        <v>37</v>
      </c>
      <c r="R288" s="7" t="s">
        <v>2157</v>
      </c>
      <c r="S288" s="7" t="s">
        <v>2157</v>
      </c>
      <c r="V288" s="4" t="s">
        <v>1727</v>
      </c>
      <c r="W288" s="4">
        <v>4.230110592465E12</v>
      </c>
      <c r="X288" s="4" t="s">
        <v>40</v>
      </c>
      <c r="Y288" s="7" t="s">
        <v>2158</v>
      </c>
      <c r="Z288" s="4" t="s">
        <v>2159</v>
      </c>
      <c r="AA288" s="4" t="s">
        <v>1727</v>
      </c>
    </row>
    <row r="289" ht="22.5" customHeight="1">
      <c r="A289" s="3">
        <v>46195.99402706018</v>
      </c>
      <c r="B289" s="4">
        <v>2.0</v>
      </c>
      <c r="C289" s="5" t="str">
        <f>IFERROR(__xludf.DUMMYFUNCTION("""COMPUTED_VALUE"""),"L68")</f>
        <v>L68</v>
      </c>
      <c r="D289" s="4">
        <v>4.230128998077E12</v>
      </c>
      <c r="E289" s="4" t="s">
        <v>2153</v>
      </c>
      <c r="F289" s="4" t="s">
        <v>45</v>
      </c>
      <c r="G289" s="4" t="s">
        <v>2160</v>
      </c>
      <c r="H289" s="4" t="s">
        <v>2161</v>
      </c>
      <c r="I289" s="4" t="s">
        <v>2153</v>
      </c>
      <c r="J289" s="4" t="s">
        <v>60</v>
      </c>
      <c r="M289" s="4">
        <v>4.21012639387E12</v>
      </c>
      <c r="N289" s="6">
        <v>39076.0</v>
      </c>
      <c r="O289" s="4" t="s">
        <v>148</v>
      </c>
      <c r="P289" s="4" t="s">
        <v>2162</v>
      </c>
      <c r="Q289" s="4" t="s">
        <v>37</v>
      </c>
      <c r="R289" s="7" t="s">
        <v>2157</v>
      </c>
      <c r="S289" s="7" t="s">
        <v>2157</v>
      </c>
      <c r="T289" s="4" t="s">
        <v>2153</v>
      </c>
      <c r="U289" s="4" t="s">
        <v>65</v>
      </c>
      <c r="V289" s="4" t="s">
        <v>2163</v>
      </c>
      <c r="W289" s="4">
        <v>4.230110592465E12</v>
      </c>
      <c r="X289" s="4" t="s">
        <v>987</v>
      </c>
      <c r="Y289" s="7" t="s">
        <v>2158</v>
      </c>
      <c r="Z289" s="4" t="s">
        <v>2159</v>
      </c>
      <c r="AA289" s="4" t="s">
        <v>1727</v>
      </c>
    </row>
    <row r="290" ht="22.5" customHeight="1">
      <c r="A290" s="3">
        <v>46196.08559390046</v>
      </c>
      <c r="B290" s="4">
        <v>2.0</v>
      </c>
      <c r="C290" s="5" t="str">
        <f>IFERROR(__xludf.DUMMYFUNCTION("""COMPUTED_VALUE"""),"L69")</f>
        <v>L69</v>
      </c>
      <c r="D290" s="4">
        <v>4.230124905731E12</v>
      </c>
      <c r="E290" s="4" t="s">
        <v>2164</v>
      </c>
      <c r="F290" s="4" t="s">
        <v>45</v>
      </c>
      <c r="G290" s="4" t="s">
        <v>2165</v>
      </c>
      <c r="H290" s="4" t="s">
        <v>2166</v>
      </c>
      <c r="I290" s="4" t="s">
        <v>2164</v>
      </c>
      <c r="J290" s="4" t="s">
        <v>60</v>
      </c>
      <c r="K290" s="4" t="s">
        <v>2167</v>
      </c>
      <c r="L290" s="6">
        <v>49226.0</v>
      </c>
      <c r="M290" s="4">
        <v>4.23016483917E12</v>
      </c>
      <c r="N290" s="6">
        <v>29257.0</v>
      </c>
      <c r="O290" s="4" t="s">
        <v>177</v>
      </c>
      <c r="P290" s="4" t="s">
        <v>2168</v>
      </c>
      <c r="Q290" s="4" t="s">
        <v>52</v>
      </c>
      <c r="R290" s="7" t="s">
        <v>2169</v>
      </c>
      <c r="S290" s="7" t="s">
        <v>2169</v>
      </c>
      <c r="T290" s="4" t="s">
        <v>1705</v>
      </c>
      <c r="U290" s="4" t="s">
        <v>193</v>
      </c>
      <c r="V290" s="4" t="s">
        <v>1490</v>
      </c>
      <c r="W290" s="4">
        <v>4.230145365319E12</v>
      </c>
      <c r="X290" s="4" t="s">
        <v>1849</v>
      </c>
      <c r="Y290" s="7" t="s">
        <v>2170</v>
      </c>
      <c r="Z290" s="4" t="s">
        <v>2171</v>
      </c>
      <c r="AA290" s="4" t="s">
        <v>1705</v>
      </c>
    </row>
    <row r="291" ht="22.5" customHeight="1">
      <c r="A291" s="3">
        <v>46196.09082304398</v>
      </c>
      <c r="B291" s="4">
        <v>2.0</v>
      </c>
      <c r="C291" s="5" t="str">
        <f>IFERROR(__xludf.DUMMYFUNCTION("""COMPUTED_VALUE"""),"L69")</f>
        <v>L69</v>
      </c>
      <c r="D291" s="4">
        <v>4.230124905731E12</v>
      </c>
      <c r="E291" s="4" t="s">
        <v>2164</v>
      </c>
      <c r="F291" s="4" t="s">
        <v>45</v>
      </c>
      <c r="G291" s="4" t="s">
        <v>2172</v>
      </c>
      <c r="H291" s="4" t="s">
        <v>31</v>
      </c>
      <c r="I291" s="4" t="s">
        <v>865</v>
      </c>
      <c r="J291" s="4" t="s">
        <v>33</v>
      </c>
      <c r="K291" s="4" t="s">
        <v>2173</v>
      </c>
      <c r="L291" s="6">
        <v>49840.0</v>
      </c>
      <c r="M291" s="4">
        <v>4.230124905731E12</v>
      </c>
      <c r="N291" s="6">
        <v>28495.0</v>
      </c>
      <c r="O291" s="4" t="s">
        <v>529</v>
      </c>
      <c r="P291" s="4" t="s">
        <v>2168</v>
      </c>
      <c r="Q291" s="4" t="s">
        <v>119</v>
      </c>
      <c r="R291" s="7" t="s">
        <v>2174</v>
      </c>
      <c r="S291" s="7" t="s">
        <v>2174</v>
      </c>
      <c r="V291" s="4" t="s">
        <v>1490</v>
      </c>
      <c r="W291" s="4">
        <v>4.230145365319E12</v>
      </c>
      <c r="X291" s="4" t="s">
        <v>310</v>
      </c>
      <c r="Y291" s="7" t="s">
        <v>2175</v>
      </c>
      <c r="Z291" s="4" t="s">
        <v>2171</v>
      </c>
      <c r="AA291" s="4" t="s">
        <v>1705</v>
      </c>
    </row>
    <row r="292" ht="22.5" customHeight="1">
      <c r="A292" s="3">
        <v>46196.12063466435</v>
      </c>
      <c r="B292" s="4" t="s">
        <v>2176</v>
      </c>
      <c r="C292" s="5" t="str">
        <f>IFERROR(__xludf.DUMMYFUNCTION("""COMPUTED_VALUE"""),"L70")</f>
        <v>L70</v>
      </c>
      <c r="D292" s="4" t="s">
        <v>2177</v>
      </c>
      <c r="E292" s="4" t="s">
        <v>2178</v>
      </c>
      <c r="F292" s="4" t="s">
        <v>45</v>
      </c>
      <c r="G292" s="4" t="s">
        <v>2179</v>
      </c>
      <c r="H292" s="4" t="s">
        <v>2180</v>
      </c>
      <c r="I292" s="4" t="s">
        <v>2181</v>
      </c>
      <c r="J292" s="4" t="s">
        <v>33</v>
      </c>
      <c r="K292" s="4" t="s">
        <v>2182</v>
      </c>
      <c r="L292" s="6">
        <v>48139.0</v>
      </c>
      <c r="M292" s="4" t="s">
        <v>2177</v>
      </c>
      <c r="N292" s="6">
        <v>31546.0</v>
      </c>
      <c r="O292" s="4" t="s">
        <v>35</v>
      </c>
      <c r="P292" s="4" t="s">
        <v>2183</v>
      </c>
      <c r="Q292" s="4" t="s">
        <v>37</v>
      </c>
      <c r="R292" s="7" t="s">
        <v>2184</v>
      </c>
      <c r="S292" s="7" t="s">
        <v>2184</v>
      </c>
      <c r="V292" s="4" t="s">
        <v>2185</v>
      </c>
      <c r="W292" s="4" t="s">
        <v>2186</v>
      </c>
      <c r="X292" s="4" t="s">
        <v>310</v>
      </c>
      <c r="Y292" s="7" t="s">
        <v>2187</v>
      </c>
    </row>
    <row r="293" ht="22.5" customHeight="1">
      <c r="A293" s="3">
        <v>46196.13152263889</v>
      </c>
      <c r="B293" s="4" t="s">
        <v>2176</v>
      </c>
      <c r="C293" s="5" t="str">
        <f>IFERROR(__xludf.DUMMYFUNCTION("""COMPUTED_VALUE"""),"L70")</f>
        <v>L70</v>
      </c>
      <c r="D293" s="4" t="s">
        <v>2177</v>
      </c>
      <c r="E293" s="4" t="s">
        <v>2178</v>
      </c>
      <c r="F293" s="4" t="s">
        <v>45</v>
      </c>
      <c r="G293" s="4" t="s">
        <v>2188</v>
      </c>
      <c r="H293" s="4" t="s">
        <v>2189</v>
      </c>
      <c r="I293" s="4" t="s">
        <v>2190</v>
      </c>
      <c r="J293" s="4" t="s">
        <v>60</v>
      </c>
      <c r="K293" s="4" t="s">
        <v>2191</v>
      </c>
      <c r="L293" s="6">
        <v>48139.0</v>
      </c>
      <c r="M293" s="4" t="s">
        <v>2192</v>
      </c>
      <c r="N293" s="6">
        <v>32044.0</v>
      </c>
      <c r="O293" s="4" t="s">
        <v>160</v>
      </c>
      <c r="P293" s="4" t="s">
        <v>2183</v>
      </c>
      <c r="Q293" s="4" t="s">
        <v>133</v>
      </c>
      <c r="R293" s="7" t="s">
        <v>2193</v>
      </c>
      <c r="S293" s="7" t="s">
        <v>2193</v>
      </c>
      <c r="T293" s="4" t="s">
        <v>2194</v>
      </c>
      <c r="U293" s="4" t="s">
        <v>193</v>
      </c>
      <c r="V293" s="4" t="s">
        <v>2185</v>
      </c>
      <c r="W293" s="4" t="s">
        <v>2186</v>
      </c>
      <c r="X293" s="4" t="s">
        <v>163</v>
      </c>
      <c r="Y293" s="7" t="s">
        <v>2187</v>
      </c>
    </row>
    <row r="294" ht="22.5" customHeight="1">
      <c r="A294" s="3">
        <v>46196.14568324074</v>
      </c>
      <c r="B294" s="4" t="s">
        <v>2176</v>
      </c>
      <c r="C294" s="5" t="str">
        <f>IFERROR(__xludf.DUMMYFUNCTION("""COMPUTED_VALUE"""),"L70")</f>
        <v>L70</v>
      </c>
      <c r="D294" s="4" t="s">
        <v>2177</v>
      </c>
      <c r="E294" s="4" t="s">
        <v>2195</v>
      </c>
      <c r="F294" s="4" t="s">
        <v>45</v>
      </c>
      <c r="G294" s="4" t="s">
        <v>2196</v>
      </c>
      <c r="H294" s="4" t="s">
        <v>2195</v>
      </c>
      <c r="I294" s="4" t="s">
        <v>2197</v>
      </c>
      <c r="J294" s="4" t="s">
        <v>33</v>
      </c>
      <c r="K294" s="4" t="s">
        <v>2182</v>
      </c>
      <c r="L294" s="6">
        <v>48139.0</v>
      </c>
      <c r="M294" s="4" t="s">
        <v>2177</v>
      </c>
      <c r="N294" s="6">
        <v>31546.0</v>
      </c>
      <c r="O294" s="4" t="s">
        <v>35</v>
      </c>
      <c r="P294" s="4" t="s">
        <v>2183</v>
      </c>
      <c r="Q294" s="4" t="s">
        <v>37</v>
      </c>
      <c r="R294" s="7" t="s">
        <v>2184</v>
      </c>
      <c r="S294" s="7" t="s">
        <v>2184</v>
      </c>
      <c r="V294" s="4" t="s">
        <v>2185</v>
      </c>
      <c r="W294" s="4" t="s">
        <v>2186</v>
      </c>
      <c r="X294" s="4" t="s">
        <v>310</v>
      </c>
      <c r="Y294" s="7" t="s">
        <v>2187</v>
      </c>
    </row>
    <row r="295" ht="22.5" customHeight="1">
      <c r="A295" s="3">
        <v>46196.153039930556</v>
      </c>
      <c r="B295" s="4" t="s">
        <v>2176</v>
      </c>
      <c r="C295" s="5" t="str">
        <f>IFERROR(__xludf.DUMMYFUNCTION("""COMPUTED_VALUE"""),"L70")</f>
        <v>L70</v>
      </c>
      <c r="D295" s="4" t="s">
        <v>2177</v>
      </c>
      <c r="E295" s="4" t="s">
        <v>2195</v>
      </c>
      <c r="F295" s="4" t="s">
        <v>45</v>
      </c>
      <c r="G295" s="4" t="s">
        <v>2188</v>
      </c>
      <c r="H295" s="4" t="s">
        <v>2198</v>
      </c>
      <c r="I295" s="4" t="s">
        <v>2190</v>
      </c>
      <c r="J295" s="4" t="s">
        <v>60</v>
      </c>
      <c r="K295" s="4" t="s">
        <v>2191</v>
      </c>
      <c r="L295" s="6">
        <v>48139.0</v>
      </c>
      <c r="M295" s="4" t="s">
        <v>2192</v>
      </c>
      <c r="N295" s="6">
        <v>32044.0</v>
      </c>
      <c r="O295" s="4" t="s">
        <v>160</v>
      </c>
      <c r="P295" s="4" t="s">
        <v>2183</v>
      </c>
      <c r="Q295" s="4" t="s">
        <v>133</v>
      </c>
      <c r="R295" s="7" t="s">
        <v>2193</v>
      </c>
      <c r="S295" s="7" t="s">
        <v>2193</v>
      </c>
      <c r="T295" s="4" t="s">
        <v>2194</v>
      </c>
      <c r="U295" s="4" t="s">
        <v>193</v>
      </c>
      <c r="V295" s="4" t="s">
        <v>2185</v>
      </c>
      <c r="W295" s="4" t="s">
        <v>2186</v>
      </c>
      <c r="X295" s="4" t="s">
        <v>358</v>
      </c>
      <c r="Y295" s="7" t="s">
        <v>2187</v>
      </c>
    </row>
    <row r="296" ht="22.5" customHeight="1">
      <c r="A296" s="3">
        <v>46196.31087335648</v>
      </c>
      <c r="B296" s="4">
        <v>2.0</v>
      </c>
      <c r="C296" s="5" t="str">
        <f>IFERROR(__xludf.DUMMYFUNCTION("""COMPUTED_VALUE"""),"L71")</f>
        <v>L71</v>
      </c>
      <c r="D296" s="4">
        <v>4.210104038093E12</v>
      </c>
      <c r="E296" s="4" t="s">
        <v>2199</v>
      </c>
      <c r="F296" s="4" t="s">
        <v>45</v>
      </c>
      <c r="G296" s="4" t="s">
        <v>2199</v>
      </c>
      <c r="H296" s="4" t="s">
        <v>2200</v>
      </c>
      <c r="I296" s="4" t="s">
        <v>1119</v>
      </c>
      <c r="J296" s="4" t="s">
        <v>33</v>
      </c>
      <c r="K296" s="4" t="s">
        <v>2201</v>
      </c>
      <c r="L296" s="6">
        <v>46951.0</v>
      </c>
      <c r="M296" s="4" t="s">
        <v>2202</v>
      </c>
      <c r="N296" s="6">
        <v>46196.0</v>
      </c>
      <c r="O296" s="4" t="s">
        <v>2203</v>
      </c>
      <c r="P296" s="4" t="s">
        <v>2204</v>
      </c>
      <c r="Q296" s="4" t="s">
        <v>52</v>
      </c>
      <c r="R296" s="7" t="s">
        <v>2205</v>
      </c>
      <c r="S296" s="7" t="s">
        <v>2205</v>
      </c>
      <c r="T296" s="4" t="s">
        <v>2206</v>
      </c>
      <c r="U296" s="4" t="s">
        <v>792</v>
      </c>
      <c r="V296" s="4" t="s">
        <v>2207</v>
      </c>
      <c r="W296" s="4" t="s">
        <v>2208</v>
      </c>
      <c r="X296" s="4" t="s">
        <v>792</v>
      </c>
      <c r="Y296" s="7" t="s">
        <v>2209</v>
      </c>
    </row>
    <row r="297" ht="22.5" customHeight="1">
      <c r="A297" s="3">
        <v>46196.31743412037</v>
      </c>
      <c r="B297" s="4">
        <v>2.0</v>
      </c>
      <c r="C297" s="5" t="str">
        <f>IFERROR(__xludf.DUMMYFUNCTION("""COMPUTED_VALUE"""),"L71")</f>
        <v>L71</v>
      </c>
      <c r="D297" s="4" t="s">
        <v>2202</v>
      </c>
      <c r="E297" s="4" t="s">
        <v>2199</v>
      </c>
      <c r="F297" s="4" t="s">
        <v>45</v>
      </c>
      <c r="G297" s="4" t="s">
        <v>1235</v>
      </c>
      <c r="H297" s="4" t="s">
        <v>2206</v>
      </c>
      <c r="I297" s="4" t="s">
        <v>2199</v>
      </c>
      <c r="J297" s="4" t="s">
        <v>60</v>
      </c>
      <c r="K297" s="4" t="s">
        <v>2210</v>
      </c>
      <c r="L297" s="6">
        <v>46951.0</v>
      </c>
      <c r="M297" s="4" t="s">
        <v>2208</v>
      </c>
      <c r="N297" s="6">
        <v>34562.0</v>
      </c>
      <c r="O297" s="4" t="s">
        <v>2203</v>
      </c>
      <c r="P297" s="4" t="s">
        <v>2204</v>
      </c>
      <c r="Q297" s="4" t="s">
        <v>52</v>
      </c>
      <c r="R297" s="7" t="s">
        <v>2209</v>
      </c>
      <c r="S297" s="7" t="s">
        <v>2209</v>
      </c>
      <c r="T297" s="4" t="s">
        <v>2199</v>
      </c>
      <c r="U297" s="4" t="s">
        <v>2211</v>
      </c>
      <c r="V297" s="4" t="s">
        <v>2212</v>
      </c>
      <c r="W297" s="4" t="s">
        <v>2202</v>
      </c>
      <c r="X297" s="4" t="s">
        <v>2199</v>
      </c>
      <c r="Y297" s="7" t="s">
        <v>2205</v>
      </c>
    </row>
    <row r="298" ht="22.5" customHeight="1">
      <c r="A298" s="3">
        <v>46196.32663299769</v>
      </c>
      <c r="B298" s="4">
        <v>4.0</v>
      </c>
      <c r="C298" s="5" t="str">
        <f>IFERROR(__xludf.DUMMYFUNCTION("""COMPUTED_VALUE"""),"L72")</f>
        <v>L72</v>
      </c>
      <c r="D298" s="4" t="s">
        <v>2199</v>
      </c>
      <c r="E298" s="4" t="s">
        <v>2213</v>
      </c>
      <c r="F298" s="4" t="s">
        <v>45</v>
      </c>
      <c r="G298" s="4" t="s">
        <v>2199</v>
      </c>
      <c r="H298" s="4" t="s">
        <v>2199</v>
      </c>
      <c r="I298" s="4" t="s">
        <v>1149</v>
      </c>
      <c r="J298" s="4" t="s">
        <v>33</v>
      </c>
      <c r="K298" s="4" t="s">
        <v>2214</v>
      </c>
      <c r="L298" s="6">
        <v>46951.0</v>
      </c>
      <c r="M298" s="4" t="s">
        <v>2202</v>
      </c>
      <c r="N298" s="6">
        <v>34230.0</v>
      </c>
      <c r="O298" s="4" t="s">
        <v>2215</v>
      </c>
      <c r="P298" s="4" t="s">
        <v>2216</v>
      </c>
      <c r="Q298" s="4" t="s">
        <v>52</v>
      </c>
      <c r="R298" s="7" t="s">
        <v>2205</v>
      </c>
      <c r="S298" s="7" t="s">
        <v>2205</v>
      </c>
      <c r="T298" s="4" t="s">
        <v>2206</v>
      </c>
      <c r="U298" s="4" t="s">
        <v>792</v>
      </c>
      <c r="V298" s="4" t="s">
        <v>2206</v>
      </c>
      <c r="W298" s="4" t="s">
        <v>2208</v>
      </c>
      <c r="X298" s="4" t="s">
        <v>792</v>
      </c>
      <c r="Y298" s="7" t="s">
        <v>2209</v>
      </c>
    </row>
    <row r="299" ht="22.5" customHeight="1">
      <c r="A299" s="3">
        <v>46196.33470475694</v>
      </c>
      <c r="B299" s="4">
        <v>4.0</v>
      </c>
      <c r="C299" s="5" t="str">
        <f>IFERROR(__xludf.DUMMYFUNCTION("""COMPUTED_VALUE"""),"L71")</f>
        <v>L71</v>
      </c>
      <c r="D299" s="4" t="s">
        <v>2202</v>
      </c>
      <c r="E299" s="4" t="s">
        <v>2199</v>
      </c>
      <c r="F299" s="4" t="s">
        <v>45</v>
      </c>
      <c r="G299" s="4" t="s">
        <v>1235</v>
      </c>
      <c r="H299" s="4" t="s">
        <v>2206</v>
      </c>
      <c r="I299" s="4" t="s">
        <v>2199</v>
      </c>
      <c r="J299" s="4" t="s">
        <v>60</v>
      </c>
      <c r="K299" s="4" t="s">
        <v>2210</v>
      </c>
      <c r="L299" s="6">
        <v>46951.0</v>
      </c>
      <c r="M299" s="4" t="s">
        <v>2208</v>
      </c>
      <c r="N299" s="6">
        <v>34562.0</v>
      </c>
      <c r="O299" s="4" t="s">
        <v>2215</v>
      </c>
      <c r="P299" s="4" t="s">
        <v>2217</v>
      </c>
      <c r="Q299" s="4" t="s">
        <v>52</v>
      </c>
      <c r="R299" s="7" t="s">
        <v>2209</v>
      </c>
      <c r="S299" s="7" t="s">
        <v>2209</v>
      </c>
      <c r="T299" s="4" t="s">
        <v>2218</v>
      </c>
      <c r="U299" s="4" t="s">
        <v>2211</v>
      </c>
      <c r="V299" s="4" t="s">
        <v>2199</v>
      </c>
      <c r="W299" s="4" t="s">
        <v>2219</v>
      </c>
      <c r="X299" s="4" t="s">
        <v>2211</v>
      </c>
      <c r="Y299" s="7" t="s">
        <v>2205</v>
      </c>
    </row>
    <row r="300" ht="22.5" customHeight="1">
      <c r="A300" s="3">
        <v>46196.34705306713</v>
      </c>
      <c r="B300" s="4">
        <v>4.0</v>
      </c>
      <c r="C300" s="5" t="str">
        <f>IFERROR(__xludf.DUMMYFUNCTION("""COMPUTED_VALUE"""),"L71")</f>
        <v>L71</v>
      </c>
      <c r="D300" s="4" t="s">
        <v>2202</v>
      </c>
      <c r="E300" s="4" t="s">
        <v>2199</v>
      </c>
      <c r="F300" s="4" t="s">
        <v>45</v>
      </c>
      <c r="G300" s="4" t="s">
        <v>2220</v>
      </c>
      <c r="H300" s="4" t="s">
        <v>2221</v>
      </c>
      <c r="I300" s="4" t="s">
        <v>1929</v>
      </c>
      <c r="J300" s="4" t="s">
        <v>33</v>
      </c>
      <c r="K300" s="4" t="s">
        <v>2222</v>
      </c>
      <c r="L300" s="6">
        <v>49002.0</v>
      </c>
      <c r="M300" s="4" t="s">
        <v>2223</v>
      </c>
      <c r="N300" s="6">
        <v>37909.0</v>
      </c>
      <c r="O300" s="4" t="s">
        <v>2224</v>
      </c>
      <c r="P300" s="4" t="s">
        <v>2225</v>
      </c>
      <c r="Q300" s="4" t="s">
        <v>52</v>
      </c>
      <c r="R300" s="7" t="s">
        <v>2226</v>
      </c>
      <c r="S300" s="7" t="s">
        <v>2226</v>
      </c>
      <c r="V300" s="4" t="s">
        <v>2199</v>
      </c>
      <c r="W300" s="4" t="s">
        <v>2202</v>
      </c>
      <c r="X300" s="4" t="s">
        <v>2227</v>
      </c>
      <c r="Y300" s="7" t="s">
        <v>2205</v>
      </c>
    </row>
    <row r="301" ht="22.5" customHeight="1">
      <c r="A301" s="3">
        <v>46196.3533766551</v>
      </c>
      <c r="B301" s="4">
        <v>4.0</v>
      </c>
      <c r="C301" s="5" t="str">
        <f>IFERROR(__xludf.DUMMYFUNCTION("""COMPUTED_VALUE"""),"L71")</f>
        <v>L71</v>
      </c>
      <c r="D301" s="4" t="s">
        <v>2202</v>
      </c>
      <c r="E301" s="4" t="s">
        <v>2199</v>
      </c>
      <c r="F301" s="4" t="s">
        <v>45</v>
      </c>
      <c r="G301" s="4" t="s">
        <v>2228</v>
      </c>
      <c r="H301" s="4" t="s">
        <v>2229</v>
      </c>
      <c r="I301" s="4" t="s">
        <v>2230</v>
      </c>
      <c r="J301" s="4" t="s">
        <v>60</v>
      </c>
      <c r="K301" s="4" t="s">
        <v>2231</v>
      </c>
      <c r="L301" s="6">
        <v>49686.0</v>
      </c>
      <c r="M301" s="4" t="s">
        <v>2232</v>
      </c>
      <c r="N301" s="6">
        <v>39237.0</v>
      </c>
      <c r="O301" s="4" t="s">
        <v>2224</v>
      </c>
      <c r="P301" s="4" t="s">
        <v>2233</v>
      </c>
      <c r="Q301" s="4" t="s">
        <v>52</v>
      </c>
      <c r="R301" s="4" t="s">
        <v>2234</v>
      </c>
      <c r="S301" s="4" t="s">
        <v>2234</v>
      </c>
      <c r="T301" s="4" t="s">
        <v>2235</v>
      </c>
      <c r="U301" s="4" t="s">
        <v>2211</v>
      </c>
      <c r="V301" s="4" t="s">
        <v>2199</v>
      </c>
      <c r="W301" s="4" t="s">
        <v>2236</v>
      </c>
      <c r="X301" s="4" t="s">
        <v>2227</v>
      </c>
      <c r="Y301" s="7" t="s">
        <v>2205</v>
      </c>
    </row>
    <row r="302" ht="22.5" customHeight="1">
      <c r="A302" s="3">
        <v>46196.58731050926</v>
      </c>
      <c r="B302" s="4">
        <v>1.0</v>
      </c>
      <c r="C302" s="5" t="str">
        <f>IFERROR(__xludf.DUMMYFUNCTION("""COMPUTED_VALUE"""),"L73")</f>
        <v>L73</v>
      </c>
      <c r="D302" s="4" t="s">
        <v>2237</v>
      </c>
      <c r="E302" s="4" t="s">
        <v>2238</v>
      </c>
      <c r="F302" s="4" t="s">
        <v>45</v>
      </c>
      <c r="G302" s="4" t="s">
        <v>2238</v>
      </c>
      <c r="H302" s="4" t="s">
        <v>2239</v>
      </c>
      <c r="I302" s="4" t="s">
        <v>2240</v>
      </c>
      <c r="J302" s="4" t="s">
        <v>33</v>
      </c>
      <c r="M302" s="4" t="s">
        <v>2237</v>
      </c>
      <c r="N302" s="6">
        <v>23789.0</v>
      </c>
      <c r="O302" s="4" t="s">
        <v>2241</v>
      </c>
      <c r="P302" s="4" t="s">
        <v>2242</v>
      </c>
      <c r="Q302" s="4" t="s">
        <v>133</v>
      </c>
      <c r="R302" s="7" t="s">
        <v>2243</v>
      </c>
      <c r="S302" s="7" t="s">
        <v>2243</v>
      </c>
      <c r="V302" s="4" t="s">
        <v>2244</v>
      </c>
      <c r="W302" s="4" t="s">
        <v>2245</v>
      </c>
      <c r="X302" s="4" t="s">
        <v>925</v>
      </c>
      <c r="Y302" s="7" t="s">
        <v>2246</v>
      </c>
      <c r="Z302" s="4" t="s">
        <v>2247</v>
      </c>
      <c r="AA302" s="4" t="s">
        <v>2238</v>
      </c>
    </row>
    <row r="303" ht="22.5" customHeight="1">
      <c r="A303" s="3">
        <v>46196.68036699074</v>
      </c>
      <c r="B303" s="4">
        <v>7.0</v>
      </c>
      <c r="C303" s="5" t="str">
        <f>IFERROR(__xludf.DUMMYFUNCTION("""COMPUTED_VALUE"""),"L74")</f>
        <v>L74</v>
      </c>
      <c r="D303" s="4">
        <v>4.230169067505E12</v>
      </c>
      <c r="E303" s="4" t="s">
        <v>2248</v>
      </c>
      <c r="F303" s="4" t="s">
        <v>45</v>
      </c>
      <c r="G303" s="4" t="s">
        <v>2249</v>
      </c>
      <c r="H303" s="4" t="s">
        <v>31</v>
      </c>
      <c r="I303" s="4" t="s">
        <v>2250</v>
      </c>
      <c r="J303" s="4" t="s">
        <v>33</v>
      </c>
      <c r="K303" s="4" t="s">
        <v>2251</v>
      </c>
      <c r="L303" s="6">
        <v>49434.0</v>
      </c>
      <c r="M303" s="4">
        <v>4.230169067505E12</v>
      </c>
      <c r="N303" s="6">
        <v>31570.0</v>
      </c>
      <c r="O303" s="4" t="s">
        <v>2252</v>
      </c>
      <c r="P303" s="4" t="s">
        <v>2253</v>
      </c>
      <c r="Q303" s="4" t="s">
        <v>119</v>
      </c>
      <c r="R303" s="7" t="s">
        <v>2254</v>
      </c>
      <c r="S303" s="7" t="s">
        <v>2254</v>
      </c>
      <c r="V303" s="4" t="s">
        <v>2255</v>
      </c>
      <c r="W303" s="4">
        <v>4.230183934389E12</v>
      </c>
      <c r="X303" s="4" t="s">
        <v>79</v>
      </c>
      <c r="Y303" s="7" t="s">
        <v>2256</v>
      </c>
    </row>
    <row r="304" ht="22.5" customHeight="1">
      <c r="A304" s="3">
        <v>46196.68956359954</v>
      </c>
      <c r="B304" s="4">
        <v>7.0</v>
      </c>
      <c r="C304" s="5" t="str">
        <f>IFERROR(__xludf.DUMMYFUNCTION("""COMPUTED_VALUE"""),"L74")</f>
        <v>L74</v>
      </c>
      <c r="D304" s="4">
        <v>4.230169067505E12</v>
      </c>
      <c r="E304" s="4" t="s">
        <v>2248</v>
      </c>
      <c r="F304" s="4" t="s">
        <v>45</v>
      </c>
      <c r="G304" s="4" t="s">
        <v>2249</v>
      </c>
      <c r="H304" s="4" t="s">
        <v>441</v>
      </c>
      <c r="I304" s="4" t="s">
        <v>2248</v>
      </c>
      <c r="J304" s="4" t="s">
        <v>60</v>
      </c>
      <c r="K304" s="4" t="s">
        <v>2257</v>
      </c>
      <c r="L304" s="6">
        <v>49435.0</v>
      </c>
      <c r="M304" s="4">
        <v>4.23017254056E12</v>
      </c>
      <c r="N304" s="6">
        <v>32779.0</v>
      </c>
      <c r="O304" s="4" t="s">
        <v>2258</v>
      </c>
      <c r="P304" s="4" t="s">
        <v>2253</v>
      </c>
      <c r="Q304" s="4" t="s">
        <v>119</v>
      </c>
      <c r="R304" s="7" t="s">
        <v>2259</v>
      </c>
      <c r="S304" s="7" t="s">
        <v>2259</v>
      </c>
      <c r="T304" s="4" t="s">
        <v>2248</v>
      </c>
      <c r="U304" s="4" t="s">
        <v>65</v>
      </c>
      <c r="V304" s="4" t="s">
        <v>2260</v>
      </c>
      <c r="W304" s="4">
        <v>4.230108175807E12</v>
      </c>
      <c r="X304" s="4" t="s">
        <v>79</v>
      </c>
      <c r="Y304" s="7" t="s">
        <v>2261</v>
      </c>
    </row>
    <row r="305" ht="22.5" customHeight="1">
      <c r="A305" s="3">
        <v>46197.00497071759</v>
      </c>
      <c r="B305" s="4">
        <v>2.0</v>
      </c>
      <c r="C305" s="5" t="str">
        <f>IFERROR(__xludf.DUMMYFUNCTION("""COMPUTED_VALUE"""),"L75")</f>
        <v>L75</v>
      </c>
      <c r="D305" s="4">
        <v>4.230111057885E12</v>
      </c>
      <c r="E305" s="4" t="s">
        <v>2262</v>
      </c>
      <c r="F305" s="4" t="s">
        <v>45</v>
      </c>
      <c r="G305" s="4" t="s">
        <v>2263</v>
      </c>
      <c r="H305" s="4" t="s">
        <v>2264</v>
      </c>
      <c r="I305" s="4" t="s">
        <v>2265</v>
      </c>
      <c r="J305" s="4" t="s">
        <v>33</v>
      </c>
      <c r="K305" s="4" t="s">
        <v>2266</v>
      </c>
      <c r="L305" s="6">
        <v>46868.0</v>
      </c>
      <c r="M305" s="4">
        <v>4.230111057885E12</v>
      </c>
      <c r="N305" s="6">
        <v>28237.0</v>
      </c>
      <c r="O305" s="4" t="s">
        <v>2267</v>
      </c>
      <c r="P305" s="4" t="s">
        <v>2268</v>
      </c>
      <c r="Q305" s="4" t="s">
        <v>37</v>
      </c>
      <c r="R305" s="7" t="s">
        <v>2269</v>
      </c>
      <c r="S305" s="7" t="s">
        <v>2269</v>
      </c>
      <c r="T305" s="4" t="s">
        <v>2270</v>
      </c>
      <c r="U305" s="4" t="s">
        <v>67</v>
      </c>
      <c r="V305" s="4" t="s">
        <v>2271</v>
      </c>
      <c r="W305" s="4" t="s">
        <v>2272</v>
      </c>
      <c r="X305" s="4" t="s">
        <v>2273</v>
      </c>
      <c r="Y305" s="7" t="s">
        <v>2274</v>
      </c>
      <c r="Z305" s="7" t="s">
        <v>2275</v>
      </c>
      <c r="AA305" s="4" t="s">
        <v>2276</v>
      </c>
    </row>
    <row r="306" ht="22.5" customHeight="1">
      <c r="A306" s="3">
        <v>46197.00991230324</v>
      </c>
      <c r="B306" s="4">
        <v>2.0</v>
      </c>
      <c r="C306" s="5" t="str">
        <f>IFERROR(__xludf.DUMMYFUNCTION("""COMPUTED_VALUE"""),"L75")</f>
        <v>L75</v>
      </c>
      <c r="D306" s="4">
        <v>4.230111057885E12</v>
      </c>
      <c r="E306" s="4" t="s">
        <v>1452</v>
      </c>
      <c r="F306" s="4" t="s">
        <v>45</v>
      </c>
      <c r="G306" s="4" t="s">
        <v>2263</v>
      </c>
      <c r="H306" s="4" t="s">
        <v>2277</v>
      </c>
      <c r="I306" s="4" t="s">
        <v>1452</v>
      </c>
      <c r="J306" s="4" t="s">
        <v>60</v>
      </c>
      <c r="K306" s="4" t="s">
        <v>2278</v>
      </c>
      <c r="L306" s="6">
        <v>46868.0</v>
      </c>
      <c r="M306" s="4">
        <v>4.230107645112E12</v>
      </c>
      <c r="N306" s="6">
        <v>29590.0</v>
      </c>
      <c r="O306" s="4" t="s">
        <v>2267</v>
      </c>
      <c r="P306" s="4" t="s">
        <v>2279</v>
      </c>
      <c r="Q306" s="4" t="s">
        <v>37</v>
      </c>
      <c r="R306" s="7" t="s">
        <v>2269</v>
      </c>
      <c r="S306" s="7" t="s">
        <v>2269</v>
      </c>
      <c r="T306" s="4" t="s">
        <v>1452</v>
      </c>
      <c r="U306" s="4" t="s">
        <v>193</v>
      </c>
      <c r="V306" s="4" t="s">
        <v>2280</v>
      </c>
      <c r="W306" s="4" t="s">
        <v>2272</v>
      </c>
      <c r="X306" s="4" t="s">
        <v>79</v>
      </c>
      <c r="Y306" s="7" t="s">
        <v>2274</v>
      </c>
      <c r="Z306" s="7" t="s">
        <v>2275</v>
      </c>
      <c r="AA306" s="4" t="s">
        <v>2276</v>
      </c>
    </row>
    <row r="307" ht="22.5" customHeight="1">
      <c r="A307" s="3">
        <v>46197.042396018514</v>
      </c>
      <c r="B307" s="4">
        <v>2.0</v>
      </c>
      <c r="C307" s="5" t="str">
        <f>IFERROR(__xludf.DUMMYFUNCTION("""COMPUTED_VALUE"""),"L76")</f>
        <v>L76</v>
      </c>
      <c r="D307" s="4">
        <v>4.230198042419E12</v>
      </c>
      <c r="E307" s="4" t="s">
        <v>2281</v>
      </c>
      <c r="F307" s="4" t="s">
        <v>45</v>
      </c>
      <c r="G307" s="4" t="s">
        <v>2282</v>
      </c>
      <c r="H307" s="4" t="s">
        <v>554</v>
      </c>
      <c r="I307" s="4" t="s">
        <v>2283</v>
      </c>
      <c r="J307" s="4" t="s">
        <v>33</v>
      </c>
      <c r="K307" s="4" t="s">
        <v>2284</v>
      </c>
      <c r="L307" s="6">
        <v>47093.0</v>
      </c>
      <c r="M307" s="4">
        <v>4.230498042419E12</v>
      </c>
      <c r="N307" s="6">
        <v>38616.0</v>
      </c>
      <c r="O307" s="4" t="s">
        <v>330</v>
      </c>
      <c r="P307" s="4" t="s">
        <v>2285</v>
      </c>
      <c r="Q307" s="4" t="s">
        <v>133</v>
      </c>
      <c r="R307" s="7" t="s">
        <v>1734</v>
      </c>
      <c r="S307" s="7" t="s">
        <v>1734</v>
      </c>
      <c r="V307" s="4" t="s">
        <v>2283</v>
      </c>
      <c r="W307" s="4">
        <v>4.230132177799E12</v>
      </c>
      <c r="X307" s="4" t="s">
        <v>630</v>
      </c>
      <c r="Y307" s="7" t="s">
        <v>1732</v>
      </c>
      <c r="Z307" s="4" t="s">
        <v>2286</v>
      </c>
      <c r="AA307" s="4" t="s">
        <v>2281</v>
      </c>
    </row>
    <row r="308" ht="22.5" customHeight="1">
      <c r="A308" s="3">
        <v>46197.045625659724</v>
      </c>
      <c r="B308" s="4">
        <v>2.0</v>
      </c>
      <c r="C308" s="5" t="str">
        <f>IFERROR(__xludf.DUMMYFUNCTION("""COMPUTED_VALUE"""),"L76")</f>
        <v>L76</v>
      </c>
      <c r="D308" s="4">
        <v>4.230198042419E12</v>
      </c>
      <c r="E308" s="4" t="s">
        <v>2281</v>
      </c>
      <c r="F308" s="4" t="s">
        <v>45</v>
      </c>
      <c r="G308" s="4" t="s">
        <v>2287</v>
      </c>
      <c r="H308" s="4" t="s">
        <v>554</v>
      </c>
      <c r="I308" s="4" t="s">
        <v>2283</v>
      </c>
      <c r="J308" s="4" t="s">
        <v>33</v>
      </c>
      <c r="K308" s="4" t="s">
        <v>2288</v>
      </c>
      <c r="L308" s="6">
        <v>47093.0</v>
      </c>
      <c r="M308" s="4">
        <v>4.230111774899E12</v>
      </c>
      <c r="N308" s="6">
        <v>42313.0</v>
      </c>
      <c r="O308" s="4" t="s">
        <v>529</v>
      </c>
      <c r="P308" s="4" t="s">
        <v>2285</v>
      </c>
      <c r="Q308" s="4" t="s">
        <v>133</v>
      </c>
      <c r="R308" s="7" t="s">
        <v>1734</v>
      </c>
      <c r="S308" s="7" t="s">
        <v>1734</v>
      </c>
      <c r="V308" s="4" t="s">
        <v>2283</v>
      </c>
      <c r="W308" s="4">
        <v>4.230132177799E12</v>
      </c>
      <c r="X308" s="4" t="s">
        <v>630</v>
      </c>
      <c r="Y308" s="7" t="s">
        <v>1732</v>
      </c>
      <c r="Z308" s="4" t="s">
        <v>2286</v>
      </c>
      <c r="AA308" s="4" t="s">
        <v>2281</v>
      </c>
    </row>
    <row r="309" ht="22.5" customHeight="1">
      <c r="A309" s="3">
        <v>46197.06801030092</v>
      </c>
      <c r="B309" s="4">
        <v>2.0</v>
      </c>
      <c r="C309" s="5" t="str">
        <f>IFERROR(__xludf.DUMMYFUNCTION("""COMPUTED_VALUE"""),"S55")</f>
        <v>S55</v>
      </c>
      <c r="D309" s="4">
        <v>4.230108569417E12</v>
      </c>
      <c r="E309" s="4" t="s">
        <v>2289</v>
      </c>
      <c r="F309" s="4" t="s">
        <v>29</v>
      </c>
      <c r="G309" s="4" t="s">
        <v>2290</v>
      </c>
      <c r="H309" s="4" t="s">
        <v>2289</v>
      </c>
      <c r="I309" s="4" t="s">
        <v>767</v>
      </c>
      <c r="J309" s="4" t="s">
        <v>33</v>
      </c>
      <c r="K309" s="4" t="s">
        <v>2291</v>
      </c>
      <c r="L309" s="6">
        <v>49674.0</v>
      </c>
      <c r="M309" s="4">
        <v>4.230108569417E12</v>
      </c>
      <c r="N309" s="6">
        <v>34799.0</v>
      </c>
      <c r="O309" s="4" t="s">
        <v>35</v>
      </c>
      <c r="P309" s="4" t="s">
        <v>2292</v>
      </c>
      <c r="Q309" s="4" t="s">
        <v>37</v>
      </c>
      <c r="R309" s="7" t="s">
        <v>2293</v>
      </c>
      <c r="S309" s="7" t="s">
        <v>2293</v>
      </c>
      <c r="T309" s="4" t="s">
        <v>245</v>
      </c>
      <c r="U309" s="4" t="s">
        <v>245</v>
      </c>
      <c r="V309" s="4" t="s">
        <v>2289</v>
      </c>
      <c r="W309" s="4">
        <v>4.230108569417E12</v>
      </c>
      <c r="X309" s="4" t="s">
        <v>103</v>
      </c>
      <c r="Y309" s="7" t="s">
        <v>2293</v>
      </c>
      <c r="Z309" s="4" t="s">
        <v>2294</v>
      </c>
      <c r="AA309" s="4" t="s">
        <v>2289</v>
      </c>
    </row>
    <row r="310" ht="22.5" customHeight="1">
      <c r="A310" s="3">
        <v>46197.07189329861</v>
      </c>
      <c r="B310" s="4">
        <v>2.0</v>
      </c>
      <c r="C310" s="5" t="str">
        <f>IFERROR(__xludf.DUMMYFUNCTION("""COMPUTED_VALUE"""),"S55")</f>
        <v>S55</v>
      </c>
      <c r="D310" s="4">
        <v>4.230108569417E12</v>
      </c>
      <c r="E310" s="4" t="s">
        <v>2289</v>
      </c>
      <c r="F310" s="4" t="s">
        <v>29</v>
      </c>
      <c r="G310" s="4" t="s">
        <v>2295</v>
      </c>
      <c r="H310" s="4" t="s">
        <v>1431</v>
      </c>
      <c r="I310" s="4" t="s">
        <v>2289</v>
      </c>
      <c r="J310" s="4" t="s">
        <v>60</v>
      </c>
      <c r="K310" s="4" t="s">
        <v>2296</v>
      </c>
      <c r="L310" s="6">
        <v>49681.0</v>
      </c>
      <c r="M310" s="4">
        <v>4.230176689236E12</v>
      </c>
      <c r="N310" s="6">
        <v>35020.0</v>
      </c>
      <c r="O310" s="4" t="s">
        <v>148</v>
      </c>
      <c r="P310" s="4" t="s">
        <v>2292</v>
      </c>
      <c r="Q310" s="4" t="s">
        <v>37</v>
      </c>
      <c r="R310" s="7" t="s">
        <v>2297</v>
      </c>
      <c r="S310" s="7" t="s">
        <v>2297</v>
      </c>
      <c r="T310" s="4" t="s">
        <v>2289</v>
      </c>
      <c r="U310" s="4" t="s">
        <v>67</v>
      </c>
      <c r="V310" s="4" t="s">
        <v>2289</v>
      </c>
      <c r="W310" s="4">
        <v>4.230108569417E12</v>
      </c>
      <c r="X310" s="4" t="s">
        <v>65</v>
      </c>
      <c r="Y310" s="7" t="s">
        <v>2293</v>
      </c>
      <c r="Z310" s="4" t="s">
        <v>2294</v>
      </c>
      <c r="AA310" s="4" t="s">
        <v>2289</v>
      </c>
    </row>
    <row r="311" ht="22.5" customHeight="1">
      <c r="A311" s="3">
        <v>46197.09791172454</v>
      </c>
      <c r="B311" s="4">
        <v>2.0</v>
      </c>
      <c r="C311" s="5" t="str">
        <f>IFERROR(__xludf.DUMMYFUNCTION("""COMPUTED_VALUE"""),"S56")</f>
        <v>S56</v>
      </c>
      <c r="D311" s="4">
        <v>4.230171381507E12</v>
      </c>
      <c r="E311" s="4" t="s">
        <v>2298</v>
      </c>
      <c r="F311" s="4" t="s">
        <v>29</v>
      </c>
      <c r="G311" s="4" t="s">
        <v>251</v>
      </c>
      <c r="H311" s="4" t="s">
        <v>2298</v>
      </c>
      <c r="I311" s="4" t="s">
        <v>2299</v>
      </c>
      <c r="J311" s="4" t="s">
        <v>33</v>
      </c>
      <c r="K311" s="4" t="s">
        <v>2300</v>
      </c>
      <c r="L311" s="6">
        <v>46782.0</v>
      </c>
      <c r="M311" s="4">
        <v>4.230171381507E12</v>
      </c>
      <c r="N311" s="6">
        <v>27030.0</v>
      </c>
      <c r="O311" s="4" t="s">
        <v>2301</v>
      </c>
      <c r="P311" s="4" t="s">
        <v>2302</v>
      </c>
      <c r="Q311" s="4" t="s">
        <v>119</v>
      </c>
      <c r="R311" s="7" t="s">
        <v>2303</v>
      </c>
      <c r="S311" s="7" t="s">
        <v>2303</v>
      </c>
      <c r="V311" s="4" t="s">
        <v>2304</v>
      </c>
      <c r="W311" s="4">
        <v>4.230176554035E12</v>
      </c>
      <c r="X311" s="4" t="s">
        <v>1271</v>
      </c>
      <c r="Y311" s="7" t="s">
        <v>2305</v>
      </c>
    </row>
    <row r="312" ht="22.5" customHeight="1">
      <c r="A312" s="3">
        <v>46197.10435725695</v>
      </c>
      <c r="B312" s="4">
        <v>2.0</v>
      </c>
      <c r="C312" s="5" t="str">
        <f>IFERROR(__xludf.DUMMYFUNCTION("""COMPUTED_VALUE"""),"S56")</f>
        <v>S56</v>
      </c>
      <c r="D312" s="4">
        <v>4.230171381507E12</v>
      </c>
      <c r="E312" s="4" t="s">
        <v>2298</v>
      </c>
      <c r="F312" s="4" t="s">
        <v>29</v>
      </c>
      <c r="G312" s="4" t="s">
        <v>2306</v>
      </c>
      <c r="H312" s="4" t="s">
        <v>2307</v>
      </c>
      <c r="I312" s="4" t="s">
        <v>2298</v>
      </c>
      <c r="J312" s="4" t="s">
        <v>60</v>
      </c>
      <c r="K312" s="4">
        <v>4.230125820652E12</v>
      </c>
      <c r="L312" s="6">
        <v>46782.0</v>
      </c>
      <c r="M312" s="4" t="s">
        <v>2308</v>
      </c>
      <c r="N312" s="6">
        <v>31197.0</v>
      </c>
      <c r="O312" s="4" t="s">
        <v>2309</v>
      </c>
      <c r="P312" s="4" t="s">
        <v>2310</v>
      </c>
      <c r="Q312" s="4" t="s">
        <v>119</v>
      </c>
      <c r="R312" s="7" t="s">
        <v>2303</v>
      </c>
      <c r="S312" s="7" t="s">
        <v>2303</v>
      </c>
      <c r="T312" s="4" t="s">
        <v>2298</v>
      </c>
      <c r="U312" s="4" t="s">
        <v>65</v>
      </c>
      <c r="V312" s="4" t="s">
        <v>2311</v>
      </c>
      <c r="W312" s="4">
        <v>4.230199745504E12</v>
      </c>
      <c r="X312" s="4" t="s">
        <v>1271</v>
      </c>
      <c r="Y312" s="7" t="s">
        <v>2312</v>
      </c>
    </row>
    <row r="313" ht="22.5" customHeight="1">
      <c r="A313" s="3">
        <v>46197.2543300463</v>
      </c>
      <c r="B313" s="4">
        <v>3.0</v>
      </c>
      <c r="C313" s="5" t="str">
        <f>IFERROR(__xludf.DUMMYFUNCTION("""COMPUTED_VALUE"""),"L77")</f>
        <v>L77</v>
      </c>
      <c r="D313" s="4">
        <v>4.240102613121E12</v>
      </c>
      <c r="E313" s="4" t="s">
        <v>97</v>
      </c>
      <c r="F313" s="4" t="s">
        <v>45</v>
      </c>
      <c r="G313" s="4" t="s">
        <v>2313</v>
      </c>
      <c r="H313" s="4" t="s">
        <v>725</v>
      </c>
      <c r="I313" s="4" t="s">
        <v>2314</v>
      </c>
      <c r="J313" s="4" t="s">
        <v>33</v>
      </c>
      <c r="K313" s="4" t="s">
        <v>2315</v>
      </c>
      <c r="L313" s="6">
        <v>46676.0</v>
      </c>
      <c r="M313" s="4">
        <v>4.240102613121E12</v>
      </c>
      <c r="N313" s="6">
        <v>31781.0</v>
      </c>
      <c r="O313" s="4" t="s">
        <v>148</v>
      </c>
      <c r="P313" s="4" t="s">
        <v>2316</v>
      </c>
      <c r="Q313" s="4" t="s">
        <v>431</v>
      </c>
      <c r="R313" s="7" t="s">
        <v>2317</v>
      </c>
      <c r="S313" s="7" t="s">
        <v>2317</v>
      </c>
      <c r="V313" s="4" t="s">
        <v>2314</v>
      </c>
      <c r="W313" s="4">
        <v>4.200004287093E12</v>
      </c>
      <c r="X313" s="4" t="s">
        <v>40</v>
      </c>
      <c r="Y313" s="7" t="s">
        <v>2318</v>
      </c>
    </row>
    <row r="314" ht="22.5" customHeight="1">
      <c r="A314" s="3">
        <v>46197.26170973379</v>
      </c>
      <c r="B314" s="4">
        <v>3.0</v>
      </c>
      <c r="C314" s="5" t="str">
        <f>IFERROR(__xludf.DUMMYFUNCTION("""COMPUTED_VALUE"""),"L77")</f>
        <v>L77</v>
      </c>
      <c r="D314" s="4">
        <v>4.240102613121E12</v>
      </c>
      <c r="E314" s="4" t="s">
        <v>2319</v>
      </c>
      <c r="F314" s="4" t="s">
        <v>45</v>
      </c>
      <c r="G314" s="4" t="s">
        <v>2313</v>
      </c>
      <c r="H314" s="4" t="s">
        <v>2320</v>
      </c>
      <c r="I314" s="4" t="s">
        <v>97</v>
      </c>
      <c r="J314" s="4" t="s">
        <v>60</v>
      </c>
      <c r="K314" s="4" t="s">
        <v>2321</v>
      </c>
      <c r="L314" s="6">
        <v>47454.0</v>
      </c>
      <c r="M314" s="4">
        <v>4.240105441754E12</v>
      </c>
      <c r="N314" s="6">
        <v>33124.0</v>
      </c>
      <c r="O314" s="4" t="s">
        <v>148</v>
      </c>
      <c r="P314" s="4" t="s">
        <v>2322</v>
      </c>
      <c r="Q314" s="4" t="s">
        <v>431</v>
      </c>
      <c r="R314" s="7" t="s">
        <v>2317</v>
      </c>
      <c r="S314" s="7" t="s">
        <v>2317</v>
      </c>
      <c r="T314" s="4" t="s">
        <v>97</v>
      </c>
      <c r="U314" s="4" t="s">
        <v>65</v>
      </c>
      <c r="V314" s="4" t="s">
        <v>2314</v>
      </c>
      <c r="W314" s="4">
        <v>4.200004287093E12</v>
      </c>
      <c r="X314" s="4" t="s">
        <v>2323</v>
      </c>
      <c r="Y314" s="7" t="s">
        <v>2318</v>
      </c>
    </row>
    <row r="315" ht="22.5" customHeight="1">
      <c r="A315" s="3">
        <v>46197.26939724537</v>
      </c>
      <c r="B315" s="4">
        <v>3.0</v>
      </c>
      <c r="C315" s="5" t="str">
        <f>IFERROR(__xludf.DUMMYFUNCTION("""COMPUTED_VALUE"""),"L77")</f>
        <v>L77</v>
      </c>
      <c r="D315" s="4">
        <v>4.240102613121E12</v>
      </c>
      <c r="E315" s="4" t="s">
        <v>97</v>
      </c>
      <c r="F315" s="4" t="s">
        <v>45</v>
      </c>
      <c r="G315" s="4" t="s">
        <v>2324</v>
      </c>
      <c r="H315" s="4" t="s">
        <v>2324</v>
      </c>
      <c r="I315" s="4" t="s">
        <v>2325</v>
      </c>
      <c r="J315" s="4" t="s">
        <v>60</v>
      </c>
      <c r="K315" s="4" t="s">
        <v>2326</v>
      </c>
      <c r="L315" s="6">
        <v>47442.0</v>
      </c>
      <c r="M315" s="4">
        <v>4.240118069716E12</v>
      </c>
      <c r="N315" s="6">
        <v>27395.0</v>
      </c>
      <c r="O315" s="4" t="s">
        <v>148</v>
      </c>
      <c r="P315" s="4" t="s">
        <v>2327</v>
      </c>
      <c r="Q315" s="4" t="s">
        <v>431</v>
      </c>
      <c r="R315" s="7" t="s">
        <v>2317</v>
      </c>
      <c r="S315" s="7" t="s">
        <v>2317</v>
      </c>
      <c r="T315" s="4" t="s">
        <v>97</v>
      </c>
      <c r="U315" s="4" t="s">
        <v>79</v>
      </c>
      <c r="V315" s="4" t="s">
        <v>2314</v>
      </c>
      <c r="W315" s="4">
        <v>4.200004287093E12</v>
      </c>
      <c r="X315" s="4" t="s">
        <v>40</v>
      </c>
      <c r="Y315" s="7" t="s">
        <v>2318</v>
      </c>
    </row>
    <row r="316" ht="22.5" customHeight="1">
      <c r="A316" s="3">
        <v>46197.622559525465</v>
      </c>
      <c r="B316" s="4">
        <v>1.0</v>
      </c>
      <c r="C316" s="5" t="str">
        <f>IFERROR(__xludf.DUMMYFUNCTION("""COMPUTED_VALUE"""),"L78")</f>
        <v>L78</v>
      </c>
      <c r="D316" s="4">
        <v>4.220171902801E12</v>
      </c>
      <c r="E316" s="4" t="s">
        <v>2328</v>
      </c>
      <c r="F316" s="4" t="s">
        <v>45</v>
      </c>
      <c r="G316" s="4" t="s">
        <v>2328</v>
      </c>
      <c r="H316" s="4" t="s">
        <v>31</v>
      </c>
      <c r="I316" s="4" t="s">
        <v>2329</v>
      </c>
      <c r="J316" s="4" t="s">
        <v>33</v>
      </c>
      <c r="K316" s="4" t="s">
        <v>2330</v>
      </c>
      <c r="L316" s="6">
        <v>49094.0</v>
      </c>
      <c r="M316" s="4">
        <v>4.220171902801E12</v>
      </c>
      <c r="N316" s="6">
        <v>34991.0</v>
      </c>
      <c r="O316" s="4" t="s">
        <v>512</v>
      </c>
      <c r="P316" s="4" t="s">
        <v>2331</v>
      </c>
      <c r="Q316" s="4" t="s">
        <v>37</v>
      </c>
      <c r="R316" s="7" t="s">
        <v>2332</v>
      </c>
      <c r="S316" s="7" t="s">
        <v>2332</v>
      </c>
      <c r="V316" s="4" t="s">
        <v>31</v>
      </c>
      <c r="W316" s="4">
        <v>4.220171902811E12</v>
      </c>
      <c r="X316" s="4" t="s">
        <v>79</v>
      </c>
      <c r="Y316" s="7" t="s">
        <v>2333</v>
      </c>
    </row>
    <row r="317" ht="22.5" customHeight="1">
      <c r="A317" s="3">
        <v>46197.65986519676</v>
      </c>
      <c r="B317" s="4">
        <v>2.0</v>
      </c>
      <c r="C317" s="5" t="str">
        <f>IFERROR(__xludf.DUMMYFUNCTION("""COMPUTED_VALUE"""),"S56")</f>
        <v>S56</v>
      </c>
      <c r="D317" s="4" t="s">
        <v>2334</v>
      </c>
      <c r="E317" s="4" t="s">
        <v>2335</v>
      </c>
      <c r="F317" s="4" t="s">
        <v>29</v>
      </c>
      <c r="G317" s="4" t="s">
        <v>251</v>
      </c>
      <c r="H317" s="4" t="s">
        <v>2306</v>
      </c>
      <c r="I317" s="4" t="s">
        <v>2336</v>
      </c>
      <c r="J317" s="4" t="s">
        <v>33</v>
      </c>
      <c r="K317" s="4" t="s">
        <v>2300</v>
      </c>
      <c r="L317" s="6">
        <v>47148.0</v>
      </c>
      <c r="M317" s="4" t="s">
        <v>2334</v>
      </c>
      <c r="N317" s="6">
        <v>27030.0</v>
      </c>
      <c r="O317" s="4" t="s">
        <v>160</v>
      </c>
      <c r="P317" s="4" t="s">
        <v>2337</v>
      </c>
      <c r="Q317" s="4" t="s">
        <v>133</v>
      </c>
      <c r="R317" s="4" t="s">
        <v>2338</v>
      </c>
      <c r="S317" s="7" t="s">
        <v>2303</v>
      </c>
      <c r="V317" s="4" t="s">
        <v>2307</v>
      </c>
      <c r="W317" s="4" t="s">
        <v>2339</v>
      </c>
      <c r="X317" s="4" t="s">
        <v>67</v>
      </c>
      <c r="Y317" s="7" t="s">
        <v>2340</v>
      </c>
    </row>
    <row r="318" ht="22.5" customHeight="1">
      <c r="A318" s="3">
        <v>46197.67297359953</v>
      </c>
      <c r="B318" s="4">
        <v>2.0</v>
      </c>
      <c r="C318" s="5" t="str">
        <f>IFERROR(__xludf.DUMMYFUNCTION("""COMPUTED_VALUE"""),"L79")</f>
        <v>L79</v>
      </c>
      <c r="D318" s="4" t="s">
        <v>2341</v>
      </c>
      <c r="E318" s="4" t="s">
        <v>2298</v>
      </c>
      <c r="F318" s="4" t="s">
        <v>45</v>
      </c>
      <c r="G318" s="4" t="s">
        <v>251</v>
      </c>
      <c r="H318" s="4" t="s">
        <v>2342</v>
      </c>
      <c r="I318" s="4" t="s">
        <v>2336</v>
      </c>
      <c r="J318" s="4" t="s">
        <v>33</v>
      </c>
      <c r="K318" s="4" t="s">
        <v>2300</v>
      </c>
      <c r="L318" s="6">
        <v>46782.0</v>
      </c>
      <c r="M318" s="4" t="s">
        <v>2334</v>
      </c>
      <c r="N318" s="6">
        <v>27030.0</v>
      </c>
      <c r="O318" s="4" t="s">
        <v>160</v>
      </c>
      <c r="P318" s="4" t="s">
        <v>2343</v>
      </c>
      <c r="Q318" s="4" t="s">
        <v>133</v>
      </c>
      <c r="R318" s="7" t="s">
        <v>2303</v>
      </c>
      <c r="S318" s="7" t="s">
        <v>2303</v>
      </c>
      <c r="V318" s="4" t="s">
        <v>2307</v>
      </c>
      <c r="W318" s="4" t="s">
        <v>2339</v>
      </c>
      <c r="X318" s="4" t="s">
        <v>67</v>
      </c>
      <c r="Y318" s="7" t="s">
        <v>2340</v>
      </c>
    </row>
    <row r="319" ht="22.5" customHeight="1">
      <c r="A319" s="3">
        <v>46197.8030190625</v>
      </c>
      <c r="B319" s="4">
        <v>5.0</v>
      </c>
      <c r="C319" s="5" t="str">
        <f>IFERROR(__xludf.DUMMYFUNCTION("""COMPUTED_VALUE"""),"L74")</f>
        <v>L74</v>
      </c>
      <c r="D319" s="4">
        <v>4.230169067505E12</v>
      </c>
      <c r="E319" s="4" t="s">
        <v>2248</v>
      </c>
      <c r="F319" s="4" t="s">
        <v>45</v>
      </c>
      <c r="G319" s="4" t="s">
        <v>2249</v>
      </c>
      <c r="H319" s="4" t="s">
        <v>31</v>
      </c>
      <c r="I319" s="4" t="s">
        <v>2250</v>
      </c>
      <c r="J319" s="4" t="s">
        <v>33</v>
      </c>
      <c r="K319" s="4" t="s">
        <v>2251</v>
      </c>
      <c r="L319" s="6">
        <v>49434.0</v>
      </c>
      <c r="M319" s="4">
        <v>4.230169067505E12</v>
      </c>
      <c r="N319" s="6">
        <v>31570.0</v>
      </c>
      <c r="O319" s="4" t="s">
        <v>2252</v>
      </c>
      <c r="P319" s="4" t="s">
        <v>2344</v>
      </c>
      <c r="Q319" s="4" t="s">
        <v>119</v>
      </c>
      <c r="R319" s="7" t="s">
        <v>2254</v>
      </c>
      <c r="S319" s="7" t="s">
        <v>2254</v>
      </c>
      <c r="V319" s="4" t="s">
        <v>1896</v>
      </c>
      <c r="W319" s="4">
        <v>4.230176754035E12</v>
      </c>
      <c r="X319" s="4" t="s">
        <v>79</v>
      </c>
      <c r="Y319" s="7" t="s">
        <v>2305</v>
      </c>
      <c r="Z319" s="4" t="s">
        <v>2345</v>
      </c>
      <c r="AA319" s="4" t="s">
        <v>2346</v>
      </c>
    </row>
    <row r="320" ht="22.5" customHeight="1">
      <c r="A320" s="3">
        <v>46197.80989503472</v>
      </c>
      <c r="B320" s="4">
        <v>5.0</v>
      </c>
      <c r="C320" s="5" t="str">
        <f>IFERROR(__xludf.DUMMYFUNCTION("""COMPUTED_VALUE"""),"L74")</f>
        <v>L74</v>
      </c>
      <c r="D320" s="4">
        <v>4.230169067505E12</v>
      </c>
      <c r="E320" s="4" t="s">
        <v>2248</v>
      </c>
      <c r="F320" s="4" t="s">
        <v>45</v>
      </c>
      <c r="G320" s="4" t="s">
        <v>2249</v>
      </c>
      <c r="H320" s="4" t="s">
        <v>441</v>
      </c>
      <c r="I320" s="4" t="s">
        <v>2248</v>
      </c>
      <c r="J320" s="4" t="s">
        <v>60</v>
      </c>
      <c r="K320" s="4" t="s">
        <v>2257</v>
      </c>
      <c r="L320" s="6">
        <v>49435.0</v>
      </c>
      <c r="M320" s="4">
        <v>4.23017254056E12</v>
      </c>
      <c r="N320" s="6">
        <v>32779.0</v>
      </c>
      <c r="O320" s="4" t="s">
        <v>2309</v>
      </c>
      <c r="P320" s="4" t="s">
        <v>2347</v>
      </c>
      <c r="Q320" s="4" t="s">
        <v>119</v>
      </c>
      <c r="R320" s="7" t="s">
        <v>2259</v>
      </c>
      <c r="S320" s="7" t="s">
        <v>2259</v>
      </c>
      <c r="T320" s="4" t="s">
        <v>2248</v>
      </c>
      <c r="U320" s="4" t="s">
        <v>65</v>
      </c>
      <c r="V320" s="4" t="s">
        <v>89</v>
      </c>
      <c r="W320" s="4">
        <v>4.230108175807E12</v>
      </c>
      <c r="X320" s="4" t="s">
        <v>79</v>
      </c>
      <c r="Y320" s="7" t="s">
        <v>2261</v>
      </c>
      <c r="Z320" s="4">
        <v>1.21200072340016E14</v>
      </c>
      <c r="AA320" s="4" t="s">
        <v>2346</v>
      </c>
    </row>
    <row r="321" ht="22.5" customHeight="1">
      <c r="A321" s="3">
        <v>46197.81584782407</v>
      </c>
      <c r="B321" s="4">
        <v>2.0</v>
      </c>
      <c r="C321" s="5" t="str">
        <f>IFERROR(__xludf.DUMMYFUNCTION("""COMPUTED_VALUE"""),"L80")</f>
        <v>L80</v>
      </c>
      <c r="D321" s="4" t="s">
        <v>2348</v>
      </c>
      <c r="E321" s="4" t="s">
        <v>877</v>
      </c>
      <c r="F321" s="4" t="s">
        <v>45</v>
      </c>
      <c r="G321" s="4" t="s">
        <v>877</v>
      </c>
      <c r="H321" s="4" t="s">
        <v>2349</v>
      </c>
      <c r="I321" s="4" t="s">
        <v>2350</v>
      </c>
      <c r="J321" s="4" t="s">
        <v>33</v>
      </c>
      <c r="K321" s="4" t="s">
        <v>2351</v>
      </c>
      <c r="L321" s="6">
        <v>48876.0</v>
      </c>
      <c r="M321" s="4" t="s">
        <v>2348</v>
      </c>
      <c r="N321" s="6">
        <v>28126.0</v>
      </c>
      <c r="O321" s="4" t="s">
        <v>1075</v>
      </c>
      <c r="P321" s="4" t="s">
        <v>2352</v>
      </c>
      <c r="Q321" s="4" t="s">
        <v>133</v>
      </c>
      <c r="R321" s="7" t="s">
        <v>2353</v>
      </c>
      <c r="S321" s="7" t="s">
        <v>2353</v>
      </c>
      <c r="T321" s="4" t="s">
        <v>2354</v>
      </c>
      <c r="U321" s="4" t="s">
        <v>67</v>
      </c>
      <c r="V321" s="4" t="s">
        <v>2354</v>
      </c>
      <c r="W321" s="4" t="s">
        <v>2355</v>
      </c>
      <c r="X321" s="4" t="s">
        <v>825</v>
      </c>
      <c r="Y321" s="7" t="s">
        <v>2356</v>
      </c>
      <c r="Z321" s="4" t="s">
        <v>2357</v>
      </c>
      <c r="AA321" s="4" t="s">
        <v>2358</v>
      </c>
    </row>
    <row r="322" ht="22.5" customHeight="1">
      <c r="A322" s="3">
        <v>46197.82046120371</v>
      </c>
      <c r="B322" s="4">
        <v>5.0</v>
      </c>
      <c r="C322" s="5" t="str">
        <f>IFERROR(__xludf.DUMMYFUNCTION("""COMPUTED_VALUE"""),"L74")</f>
        <v>L74</v>
      </c>
      <c r="D322" s="4">
        <v>4.230169067505E12</v>
      </c>
      <c r="E322" s="4" t="s">
        <v>2248</v>
      </c>
      <c r="F322" s="4" t="s">
        <v>45</v>
      </c>
      <c r="G322" s="4" t="s">
        <v>2249</v>
      </c>
      <c r="H322" s="4" t="s">
        <v>441</v>
      </c>
      <c r="I322" s="4" t="s">
        <v>2248</v>
      </c>
      <c r="J322" s="4" t="s">
        <v>60</v>
      </c>
      <c r="K322" s="4" t="s">
        <v>2257</v>
      </c>
      <c r="L322" s="6">
        <v>49435.0</v>
      </c>
      <c r="M322" s="4">
        <v>4.23017254056E12</v>
      </c>
      <c r="N322" s="6">
        <v>32779.0</v>
      </c>
      <c r="O322" s="4" t="s">
        <v>2309</v>
      </c>
      <c r="P322" s="4" t="s">
        <v>2347</v>
      </c>
      <c r="Q322" s="4" t="s">
        <v>119</v>
      </c>
      <c r="R322" s="7" t="s">
        <v>2259</v>
      </c>
      <c r="S322" s="7" t="s">
        <v>2259</v>
      </c>
      <c r="T322" s="4" t="s">
        <v>2248</v>
      </c>
      <c r="U322" s="4" t="s">
        <v>65</v>
      </c>
      <c r="V322" s="4" t="s">
        <v>89</v>
      </c>
      <c r="W322" s="4">
        <v>4.230108175807E12</v>
      </c>
      <c r="X322" s="4" t="s">
        <v>79</v>
      </c>
      <c r="Y322" s="7" t="s">
        <v>2261</v>
      </c>
      <c r="Z322" s="4">
        <v>1.21200072340016E14</v>
      </c>
      <c r="AA322" s="4" t="s">
        <v>2346</v>
      </c>
    </row>
    <row r="323" ht="22.5" customHeight="1">
      <c r="A323" s="3">
        <v>46197.82695700231</v>
      </c>
      <c r="B323" s="4">
        <v>5.0</v>
      </c>
      <c r="C323" s="5" t="str">
        <f>IFERROR(__xludf.DUMMYFUNCTION("""COMPUTED_VALUE"""),"L74")</f>
        <v>L74</v>
      </c>
      <c r="D323" s="4">
        <v>4.230169067505E12</v>
      </c>
      <c r="E323" s="4" t="s">
        <v>2248</v>
      </c>
      <c r="F323" s="4" t="s">
        <v>45</v>
      </c>
      <c r="G323" s="4" t="s">
        <v>2249</v>
      </c>
      <c r="H323" s="4" t="s">
        <v>31</v>
      </c>
      <c r="I323" s="4" t="s">
        <v>2250</v>
      </c>
      <c r="J323" s="4" t="s">
        <v>33</v>
      </c>
      <c r="K323" s="4" t="s">
        <v>2251</v>
      </c>
      <c r="L323" s="6">
        <v>49434.0</v>
      </c>
      <c r="M323" s="4">
        <v>4.230169067505E12</v>
      </c>
      <c r="N323" s="6">
        <v>31570.0</v>
      </c>
      <c r="O323" s="4" t="s">
        <v>2359</v>
      </c>
      <c r="P323" s="4" t="s">
        <v>2360</v>
      </c>
      <c r="Q323" s="4" t="s">
        <v>119</v>
      </c>
      <c r="R323" s="7" t="s">
        <v>2254</v>
      </c>
      <c r="S323" s="7" t="s">
        <v>2254</v>
      </c>
      <c r="V323" s="4" t="s">
        <v>1896</v>
      </c>
      <c r="W323" s="4">
        <v>4.230176754035E12</v>
      </c>
      <c r="X323" s="4" t="s">
        <v>79</v>
      </c>
      <c r="Y323" s="7" t="s">
        <v>2305</v>
      </c>
      <c r="Z323" s="4">
        <v>1.21200072340016E14</v>
      </c>
      <c r="AA323" s="4" t="s">
        <v>2346</v>
      </c>
    </row>
    <row r="324" ht="22.5" customHeight="1">
      <c r="A324" s="3">
        <v>46197.83453584491</v>
      </c>
      <c r="B324" s="4">
        <v>2.0</v>
      </c>
      <c r="C324" s="5" t="str">
        <f>IFERROR(__xludf.DUMMYFUNCTION("""COMPUTED_VALUE"""),"L80")</f>
        <v>L80</v>
      </c>
      <c r="D324" s="4" t="s">
        <v>2348</v>
      </c>
      <c r="E324" s="4" t="s">
        <v>2349</v>
      </c>
      <c r="F324" s="4" t="s">
        <v>45</v>
      </c>
      <c r="G324" s="4" t="s">
        <v>877</v>
      </c>
      <c r="H324" s="4" t="s">
        <v>2361</v>
      </c>
      <c r="I324" s="4" t="s">
        <v>2349</v>
      </c>
      <c r="J324" s="4" t="s">
        <v>33</v>
      </c>
      <c r="K324" s="4" t="s">
        <v>2362</v>
      </c>
      <c r="L324" s="6">
        <v>47055.0</v>
      </c>
      <c r="M324" s="4" t="s">
        <v>2363</v>
      </c>
      <c r="N324" s="6">
        <v>41209.0</v>
      </c>
      <c r="O324" s="4" t="s">
        <v>1202</v>
      </c>
      <c r="P324" s="4" t="s">
        <v>2364</v>
      </c>
      <c r="Q324" s="4" t="s">
        <v>133</v>
      </c>
      <c r="R324" s="7" t="s">
        <v>2365</v>
      </c>
      <c r="S324" s="7" t="s">
        <v>2365</v>
      </c>
      <c r="V324" s="4" t="s">
        <v>2354</v>
      </c>
      <c r="W324" s="4" t="s">
        <v>2355</v>
      </c>
      <c r="X324" s="4" t="s">
        <v>122</v>
      </c>
      <c r="Y324" s="7" t="s">
        <v>2356</v>
      </c>
      <c r="Z324" s="4" t="s">
        <v>2366</v>
      </c>
      <c r="AA324" s="4" t="s">
        <v>2367</v>
      </c>
    </row>
    <row r="325" ht="22.5" customHeight="1">
      <c r="A325" s="3">
        <v>46197.9558341088</v>
      </c>
      <c r="B325" s="4">
        <v>5.0</v>
      </c>
      <c r="C325" s="5" t="str">
        <f>IFERROR(__xludf.DUMMYFUNCTION("""COMPUTED_VALUE"""),"L74")</f>
        <v>L74</v>
      </c>
      <c r="D325" s="4">
        <v>4.230169067505E12</v>
      </c>
      <c r="E325" s="4" t="s">
        <v>2248</v>
      </c>
      <c r="F325" s="4" t="s">
        <v>45</v>
      </c>
      <c r="G325" s="4" t="s">
        <v>2368</v>
      </c>
      <c r="H325" s="4" t="s">
        <v>2369</v>
      </c>
      <c r="I325" s="4" t="s">
        <v>1697</v>
      </c>
      <c r="J325" s="4" t="s">
        <v>60</v>
      </c>
      <c r="M325" s="4">
        <v>4.230159026432E12</v>
      </c>
      <c r="N325" s="6">
        <v>22041.0</v>
      </c>
      <c r="O325" s="4" t="s">
        <v>2370</v>
      </c>
      <c r="P325" s="4" t="s">
        <v>2371</v>
      </c>
      <c r="Q325" s="4" t="s">
        <v>119</v>
      </c>
      <c r="R325" s="7" t="s">
        <v>2261</v>
      </c>
      <c r="S325" s="7" t="s">
        <v>2261</v>
      </c>
      <c r="T325" s="4" t="s">
        <v>2372</v>
      </c>
      <c r="U325" s="4" t="s">
        <v>87</v>
      </c>
      <c r="V325" s="4" t="s">
        <v>1697</v>
      </c>
      <c r="W325" s="4">
        <v>4.230180274715E12</v>
      </c>
      <c r="X325" s="4" t="s">
        <v>65</v>
      </c>
      <c r="Y325" s="7" t="s">
        <v>2373</v>
      </c>
      <c r="Z325" s="4" t="s">
        <v>2374</v>
      </c>
      <c r="AA325" s="4" t="s">
        <v>384</v>
      </c>
    </row>
    <row r="326" ht="22.5" customHeight="1">
      <c r="A326" s="3">
        <v>46197.9628834375</v>
      </c>
      <c r="B326" s="4">
        <v>4.0</v>
      </c>
      <c r="C326" s="5" t="str">
        <f>IFERROR(__xludf.DUMMYFUNCTION("""COMPUTED_VALUE"""),"S57")</f>
        <v>S57</v>
      </c>
      <c r="D326" s="4">
        <v>4.210166006069E12</v>
      </c>
      <c r="E326" s="4" t="s">
        <v>2375</v>
      </c>
      <c r="F326" s="4" t="s">
        <v>29</v>
      </c>
      <c r="G326" s="4" t="s">
        <v>2376</v>
      </c>
      <c r="H326" s="4" t="s">
        <v>31</v>
      </c>
      <c r="I326" s="4" t="s">
        <v>1452</v>
      </c>
      <c r="J326" s="4" t="s">
        <v>33</v>
      </c>
      <c r="K326" s="4" t="s">
        <v>2377</v>
      </c>
      <c r="L326" s="6">
        <v>47398.0</v>
      </c>
      <c r="M326" s="4">
        <v>4.210166006069E12</v>
      </c>
      <c r="N326" s="6">
        <v>34673.0</v>
      </c>
      <c r="O326" s="4" t="s">
        <v>160</v>
      </c>
      <c r="P326" s="4" t="s">
        <v>2378</v>
      </c>
      <c r="Q326" s="4" t="s">
        <v>37</v>
      </c>
      <c r="R326" s="4" t="s">
        <v>2379</v>
      </c>
      <c r="S326" s="4" t="s">
        <v>2380</v>
      </c>
      <c r="V326" s="4" t="s">
        <v>1452</v>
      </c>
      <c r="W326" s="4">
        <v>4.210113660309E12</v>
      </c>
      <c r="X326" s="4" t="s">
        <v>40</v>
      </c>
      <c r="Y326" s="4" t="s">
        <v>2379</v>
      </c>
    </row>
    <row r="327" ht="22.5" customHeight="1">
      <c r="A327" s="3">
        <v>46197.97163753472</v>
      </c>
      <c r="B327" s="4">
        <v>5.0</v>
      </c>
      <c r="C327" s="5" t="str">
        <f>IFERROR(__xludf.DUMMYFUNCTION("""COMPUTED_VALUE"""),"L74")</f>
        <v>L74</v>
      </c>
      <c r="D327" s="4">
        <v>4.230169067505E12</v>
      </c>
      <c r="E327" s="4" t="s">
        <v>2248</v>
      </c>
      <c r="F327" s="4" t="s">
        <v>45</v>
      </c>
      <c r="G327" s="4" t="s">
        <v>1697</v>
      </c>
      <c r="H327" s="4" t="s">
        <v>384</v>
      </c>
      <c r="I327" s="4" t="s">
        <v>1697</v>
      </c>
      <c r="J327" s="4" t="s">
        <v>33</v>
      </c>
      <c r="M327" s="4">
        <v>4.230183062121E12</v>
      </c>
      <c r="N327" s="6">
        <v>31438.0</v>
      </c>
      <c r="O327" s="4" t="s">
        <v>2381</v>
      </c>
      <c r="P327" s="4" t="s">
        <v>2382</v>
      </c>
      <c r="Q327" s="4" t="s">
        <v>119</v>
      </c>
      <c r="R327" s="7" t="s">
        <v>2383</v>
      </c>
      <c r="S327" s="7" t="s">
        <v>2383</v>
      </c>
      <c r="V327" s="4" t="s">
        <v>89</v>
      </c>
      <c r="W327" s="4">
        <v>4.23008175807E11</v>
      </c>
      <c r="X327" s="4" t="s">
        <v>79</v>
      </c>
      <c r="Y327" s="7" t="s">
        <v>2261</v>
      </c>
      <c r="Z327" s="4" t="s">
        <v>2374</v>
      </c>
      <c r="AA327" s="4" t="s">
        <v>384</v>
      </c>
    </row>
    <row r="328" ht="22.5" customHeight="1">
      <c r="A328" s="3">
        <v>46197.978383912035</v>
      </c>
      <c r="B328" s="4">
        <v>5.0</v>
      </c>
      <c r="C328" s="5" t="str">
        <f>IFERROR(__xludf.DUMMYFUNCTION("""COMPUTED_VALUE"""),"L74")</f>
        <v>L74</v>
      </c>
      <c r="D328" s="4">
        <v>4.230169067505E12</v>
      </c>
      <c r="E328" s="4" t="s">
        <v>2248</v>
      </c>
      <c r="F328" s="4" t="s">
        <v>45</v>
      </c>
      <c r="G328" s="4" t="s">
        <v>384</v>
      </c>
      <c r="H328" s="4" t="s">
        <v>2384</v>
      </c>
      <c r="I328" s="4" t="s">
        <v>384</v>
      </c>
      <c r="J328" s="4" t="s">
        <v>60</v>
      </c>
      <c r="M328" s="4">
        <v>4.230138799822E12</v>
      </c>
      <c r="N328" s="6">
        <v>36623.0</v>
      </c>
      <c r="O328" s="4" t="s">
        <v>2258</v>
      </c>
      <c r="P328" s="4" t="s">
        <v>2371</v>
      </c>
      <c r="Q328" s="4" t="s">
        <v>119</v>
      </c>
      <c r="R328" s="7" t="s">
        <v>2383</v>
      </c>
      <c r="S328" s="7" t="s">
        <v>2383</v>
      </c>
      <c r="T328" s="4" t="s">
        <v>384</v>
      </c>
      <c r="U328" s="4" t="s">
        <v>65</v>
      </c>
      <c r="V328" s="4" t="s">
        <v>89</v>
      </c>
      <c r="W328" s="4">
        <v>4.230108175807E12</v>
      </c>
      <c r="X328" s="4" t="s">
        <v>2385</v>
      </c>
      <c r="Y328" s="7" t="s">
        <v>2261</v>
      </c>
      <c r="Z328" s="4" t="s">
        <v>2374</v>
      </c>
      <c r="AA328" s="4" t="s">
        <v>384</v>
      </c>
    </row>
    <row r="329" ht="22.5" customHeight="1">
      <c r="A329" s="3">
        <v>46198.185988067125</v>
      </c>
      <c r="B329" s="4">
        <v>2.0</v>
      </c>
      <c r="C329" s="5" t="str">
        <f>IFERROR(__xludf.DUMMYFUNCTION("""COMPUTED_VALUE"""),"L81")</f>
        <v>L81</v>
      </c>
      <c r="D329" s="4" t="s">
        <v>2386</v>
      </c>
      <c r="E329" s="4" t="s">
        <v>2387</v>
      </c>
      <c r="F329" s="4" t="s">
        <v>45</v>
      </c>
      <c r="G329" s="4" t="s">
        <v>725</v>
      </c>
      <c r="H329" s="4" t="s">
        <v>2387</v>
      </c>
      <c r="I329" s="4" t="s">
        <v>2388</v>
      </c>
      <c r="J329" s="4" t="s">
        <v>33</v>
      </c>
      <c r="K329" s="4" t="s">
        <v>2389</v>
      </c>
      <c r="L329" s="6">
        <v>46987.0</v>
      </c>
      <c r="M329" s="4" t="s">
        <v>2386</v>
      </c>
      <c r="N329" s="6">
        <v>20892.0</v>
      </c>
      <c r="O329" s="4" t="s">
        <v>160</v>
      </c>
      <c r="P329" s="4" t="s">
        <v>2390</v>
      </c>
      <c r="Q329" s="4" t="s">
        <v>133</v>
      </c>
      <c r="R329" s="7" t="s">
        <v>2391</v>
      </c>
      <c r="S329" s="7" t="s">
        <v>2391</v>
      </c>
      <c r="V329" s="4" t="s">
        <v>2392</v>
      </c>
      <c r="W329" s="4" t="s">
        <v>2393</v>
      </c>
      <c r="X329" s="4" t="s">
        <v>40</v>
      </c>
      <c r="Y329" s="7" t="s">
        <v>2394</v>
      </c>
      <c r="Z329" s="4">
        <v>9.9390105992621E13</v>
      </c>
      <c r="AA329" s="4" t="s">
        <v>2392</v>
      </c>
    </row>
    <row r="330" ht="22.5" customHeight="1">
      <c r="A330" s="3">
        <v>46198.19075917824</v>
      </c>
      <c r="B330" s="4">
        <v>2.0</v>
      </c>
      <c r="C330" s="5" t="str">
        <f>IFERROR(__xludf.DUMMYFUNCTION("""COMPUTED_VALUE"""),"L81")</f>
        <v>L81</v>
      </c>
      <c r="D330" s="4" t="s">
        <v>2386</v>
      </c>
      <c r="E330" s="4" t="s">
        <v>2387</v>
      </c>
      <c r="F330" s="4" t="s">
        <v>45</v>
      </c>
      <c r="G330" s="4" t="s">
        <v>2395</v>
      </c>
      <c r="H330" s="4" t="s">
        <v>773</v>
      </c>
      <c r="I330" s="4" t="s">
        <v>2387</v>
      </c>
      <c r="J330" s="4" t="s">
        <v>60</v>
      </c>
      <c r="K330" s="4" t="s">
        <v>2396</v>
      </c>
      <c r="L330" s="6">
        <v>46987.0</v>
      </c>
      <c r="M330" s="4" t="s">
        <v>2397</v>
      </c>
      <c r="N330" s="6">
        <v>23012.0</v>
      </c>
      <c r="O330" s="4" t="s">
        <v>160</v>
      </c>
      <c r="P330" s="4" t="s">
        <v>2398</v>
      </c>
      <c r="Q330" s="4" t="s">
        <v>52</v>
      </c>
      <c r="R330" s="7" t="s">
        <v>2394</v>
      </c>
      <c r="S330" s="7" t="s">
        <v>2399</v>
      </c>
      <c r="T330" s="4" t="s">
        <v>2387</v>
      </c>
      <c r="U330" s="4" t="s">
        <v>65</v>
      </c>
      <c r="V330" s="4" t="s">
        <v>2392</v>
      </c>
      <c r="W330" s="4" t="s">
        <v>2393</v>
      </c>
      <c r="X330" s="4" t="s">
        <v>498</v>
      </c>
      <c r="Y330" s="7" t="s">
        <v>2391</v>
      </c>
      <c r="Z330" s="4">
        <v>9.9390105992621E13</v>
      </c>
      <c r="AA330" s="4" t="s">
        <v>2392</v>
      </c>
    </row>
    <row r="331" ht="22.5" customHeight="1">
      <c r="A331" s="3">
        <v>46198.54460775463</v>
      </c>
      <c r="B331" s="4">
        <v>2.0</v>
      </c>
      <c r="C331" s="5" t="str">
        <f>IFERROR(__xludf.DUMMYFUNCTION("""COMPUTED_VALUE"""),"L82")</f>
        <v>L82</v>
      </c>
      <c r="D331" s="4" t="s">
        <v>2400</v>
      </c>
      <c r="E331" s="4" t="s">
        <v>2401</v>
      </c>
      <c r="F331" s="4" t="s">
        <v>45</v>
      </c>
      <c r="G331" s="4" t="s">
        <v>2402</v>
      </c>
      <c r="H331" s="4" t="s">
        <v>2139</v>
      </c>
      <c r="I331" s="4" t="s">
        <v>2401</v>
      </c>
      <c r="J331" s="4" t="s">
        <v>60</v>
      </c>
      <c r="K331" s="4" t="s">
        <v>2403</v>
      </c>
      <c r="L331" s="6">
        <v>47269.0</v>
      </c>
      <c r="M331" s="4" t="s">
        <v>2404</v>
      </c>
      <c r="N331" s="6">
        <v>29813.0</v>
      </c>
      <c r="O331" s="4" t="s">
        <v>148</v>
      </c>
      <c r="P331" s="4" t="s">
        <v>2405</v>
      </c>
      <c r="Q331" s="4" t="s">
        <v>37</v>
      </c>
      <c r="R331" s="4" t="s">
        <v>2406</v>
      </c>
      <c r="S331" s="4" t="s">
        <v>2406</v>
      </c>
      <c r="T331" s="4" t="s">
        <v>2401</v>
      </c>
      <c r="U331" s="4" t="s">
        <v>65</v>
      </c>
      <c r="V331" s="4" t="s">
        <v>2407</v>
      </c>
      <c r="W331" s="4" t="s">
        <v>2408</v>
      </c>
      <c r="X331" s="4" t="s">
        <v>498</v>
      </c>
      <c r="Y331" s="4" t="s">
        <v>2409</v>
      </c>
    </row>
    <row r="332" ht="22.5" customHeight="1">
      <c r="A332" s="3">
        <v>46198.73193333333</v>
      </c>
      <c r="B332" s="4">
        <v>2.0</v>
      </c>
      <c r="C332" s="5" t="str">
        <f>IFERROR(__xludf.DUMMYFUNCTION("""COMPUTED_VALUE"""),"S58")</f>
        <v>S58</v>
      </c>
      <c r="D332" s="4" t="s">
        <v>2410</v>
      </c>
      <c r="E332" s="4" t="s">
        <v>2411</v>
      </c>
      <c r="F332" s="4" t="s">
        <v>29</v>
      </c>
      <c r="G332" s="4" t="s">
        <v>2412</v>
      </c>
      <c r="H332" s="4" t="s">
        <v>2413</v>
      </c>
      <c r="I332" s="4" t="s">
        <v>2414</v>
      </c>
      <c r="J332" s="4" t="s">
        <v>33</v>
      </c>
      <c r="K332" s="4" t="s">
        <v>2415</v>
      </c>
      <c r="L332" s="6">
        <v>49308.0</v>
      </c>
      <c r="M332" s="4" t="s">
        <v>2410</v>
      </c>
      <c r="N332" s="6">
        <v>48488.0</v>
      </c>
      <c r="O332" s="4" t="s">
        <v>177</v>
      </c>
      <c r="P332" s="4" t="s">
        <v>2416</v>
      </c>
      <c r="Q332" s="4" t="s">
        <v>133</v>
      </c>
      <c r="R332" s="7" t="s">
        <v>2417</v>
      </c>
      <c r="S332" s="7" t="s">
        <v>2417</v>
      </c>
      <c r="V332" s="4" t="s">
        <v>2418</v>
      </c>
      <c r="W332" s="4" t="s">
        <v>2419</v>
      </c>
      <c r="X332" s="4" t="s">
        <v>310</v>
      </c>
      <c r="Y332" s="7" t="s">
        <v>2420</v>
      </c>
      <c r="Z332" s="4" t="s">
        <v>2421</v>
      </c>
      <c r="AA332" s="4" t="s">
        <v>2422</v>
      </c>
    </row>
    <row r="333" ht="22.5" customHeight="1">
      <c r="A333" s="3">
        <v>46198.74163496528</v>
      </c>
      <c r="B333" s="4">
        <v>2.0</v>
      </c>
      <c r="C333" s="5" t="str">
        <f>IFERROR(__xludf.DUMMYFUNCTION("""COMPUTED_VALUE"""),"S58")</f>
        <v>S58</v>
      </c>
      <c r="D333" s="4" t="s">
        <v>2410</v>
      </c>
      <c r="E333" s="4" t="s">
        <v>2423</v>
      </c>
      <c r="F333" s="4" t="s">
        <v>29</v>
      </c>
      <c r="G333" s="4" t="s">
        <v>2424</v>
      </c>
      <c r="H333" s="4" t="s">
        <v>2425</v>
      </c>
      <c r="I333" s="4" t="s">
        <v>2423</v>
      </c>
      <c r="J333" s="4" t="s">
        <v>60</v>
      </c>
      <c r="K333" s="4" t="s">
        <v>2426</v>
      </c>
      <c r="L333" s="6">
        <v>49308.0</v>
      </c>
      <c r="M333" s="4" t="s">
        <v>2427</v>
      </c>
      <c r="N333" s="6">
        <v>36242.0</v>
      </c>
      <c r="O333" s="4" t="s">
        <v>529</v>
      </c>
      <c r="P333" s="4" t="s">
        <v>2428</v>
      </c>
      <c r="Q333" s="4" t="s">
        <v>37</v>
      </c>
      <c r="R333" s="7" t="s">
        <v>2429</v>
      </c>
      <c r="S333" s="7" t="s">
        <v>2429</v>
      </c>
      <c r="T333" s="4" t="s">
        <v>2423</v>
      </c>
      <c r="U333" s="4" t="s">
        <v>193</v>
      </c>
      <c r="V333" s="4" t="s">
        <v>2418</v>
      </c>
      <c r="W333" s="4" t="s">
        <v>2419</v>
      </c>
      <c r="X333" s="4" t="s">
        <v>2430</v>
      </c>
      <c r="Y333" s="4" t="s">
        <v>2431</v>
      </c>
      <c r="Z333" s="4" t="s">
        <v>2421</v>
      </c>
      <c r="AA333" s="4" t="s">
        <v>2423</v>
      </c>
    </row>
    <row r="334" ht="22.5" customHeight="1">
      <c r="A334" s="3">
        <v>46198.810400497685</v>
      </c>
      <c r="B334" s="4">
        <v>2.0</v>
      </c>
      <c r="C334" s="5" t="str">
        <f>IFERROR(__xludf.DUMMYFUNCTION("""COMPUTED_VALUE"""),"L82")</f>
        <v>L82</v>
      </c>
      <c r="D334" s="4" t="s">
        <v>2400</v>
      </c>
      <c r="E334" s="4" t="s">
        <v>2401</v>
      </c>
      <c r="F334" s="4" t="s">
        <v>45</v>
      </c>
      <c r="G334" s="4" t="s">
        <v>2432</v>
      </c>
      <c r="H334" s="4" t="s">
        <v>2139</v>
      </c>
      <c r="I334" s="4" t="s">
        <v>2401</v>
      </c>
      <c r="J334" s="4" t="s">
        <v>60</v>
      </c>
      <c r="M334" s="4" t="s">
        <v>2400</v>
      </c>
      <c r="N334" s="6">
        <v>28304.0</v>
      </c>
      <c r="O334" s="4" t="s">
        <v>1064</v>
      </c>
      <c r="P334" s="4" t="s">
        <v>2433</v>
      </c>
      <c r="Q334" s="4" t="s">
        <v>37</v>
      </c>
      <c r="R334" s="7" t="s">
        <v>2434</v>
      </c>
      <c r="S334" s="7" t="s">
        <v>2434</v>
      </c>
      <c r="V334" s="4" t="s">
        <v>2435</v>
      </c>
      <c r="W334" s="4" t="s">
        <v>2408</v>
      </c>
      <c r="X334" s="4" t="s">
        <v>40</v>
      </c>
      <c r="Y334" s="4" t="s">
        <v>2436</v>
      </c>
    </row>
    <row r="335" ht="22.5" customHeight="1">
      <c r="A335" s="3">
        <v>46199.61548541667</v>
      </c>
      <c r="B335" s="4">
        <v>2.0</v>
      </c>
      <c r="C335" s="5" t="str">
        <f>IFERROR(__xludf.DUMMYFUNCTION("""COMPUTED_VALUE"""),"L83")</f>
        <v>L83</v>
      </c>
      <c r="D335" s="4" t="s">
        <v>2437</v>
      </c>
      <c r="E335" s="4" t="s">
        <v>2438</v>
      </c>
      <c r="F335" s="4" t="s">
        <v>45</v>
      </c>
      <c r="G335" s="4" t="s">
        <v>2439</v>
      </c>
      <c r="H335" s="4" t="s">
        <v>554</v>
      </c>
      <c r="I335" s="4" t="s">
        <v>2440</v>
      </c>
      <c r="J335" s="4" t="s">
        <v>33</v>
      </c>
      <c r="K335" s="4" t="s">
        <v>2441</v>
      </c>
      <c r="L335" s="6">
        <v>48429.0</v>
      </c>
      <c r="M335" s="4" t="s">
        <v>2437</v>
      </c>
      <c r="N335" s="6">
        <v>22578.0</v>
      </c>
      <c r="O335" s="4" t="s">
        <v>148</v>
      </c>
      <c r="P335" s="4" t="s">
        <v>2442</v>
      </c>
      <c r="Q335" s="4" t="s">
        <v>133</v>
      </c>
      <c r="R335" s="7" t="s">
        <v>2443</v>
      </c>
      <c r="S335" s="7" t="s">
        <v>2443</v>
      </c>
      <c r="V335" s="4" t="s">
        <v>2444</v>
      </c>
      <c r="W335" s="4" t="s">
        <v>2445</v>
      </c>
      <c r="X335" s="4" t="s">
        <v>925</v>
      </c>
      <c r="Y335" s="7" t="s">
        <v>2446</v>
      </c>
    </row>
    <row r="336" ht="22.5" customHeight="1">
      <c r="A336" s="3">
        <v>46200.07470537037</v>
      </c>
      <c r="B336" s="7" t="s">
        <v>1982</v>
      </c>
      <c r="C336" s="5" t="str">
        <f>IFERROR(__xludf.DUMMYFUNCTION("""COMPUTED_VALUE"""),"L84")</f>
        <v>L84</v>
      </c>
      <c r="D336" s="4">
        <v>4.220118897385E12</v>
      </c>
      <c r="E336" s="4" t="s">
        <v>2447</v>
      </c>
      <c r="F336" s="4" t="s">
        <v>45</v>
      </c>
      <c r="G336" s="4" t="s">
        <v>2448</v>
      </c>
      <c r="H336" s="4" t="s">
        <v>2447</v>
      </c>
      <c r="I336" s="4" t="s">
        <v>2449</v>
      </c>
      <c r="J336" s="4" t="s">
        <v>33</v>
      </c>
      <c r="M336" s="4">
        <v>4.220118897385E12</v>
      </c>
      <c r="N336" s="6">
        <v>29954.0</v>
      </c>
      <c r="O336" s="4" t="s">
        <v>160</v>
      </c>
      <c r="P336" s="4" t="s">
        <v>2450</v>
      </c>
      <c r="Q336" s="4" t="s">
        <v>133</v>
      </c>
      <c r="R336" s="7" t="s">
        <v>2451</v>
      </c>
      <c r="S336" s="7" t="s">
        <v>2451</v>
      </c>
      <c r="V336" s="4" t="s">
        <v>2452</v>
      </c>
      <c r="W336" s="4">
        <v>4.220103526527E12</v>
      </c>
      <c r="X336" s="4" t="s">
        <v>310</v>
      </c>
      <c r="Y336" s="7" t="s">
        <v>2453</v>
      </c>
    </row>
    <row r="337" ht="22.5" customHeight="1">
      <c r="A337" s="3">
        <v>46200.59211114583</v>
      </c>
      <c r="B337" s="4">
        <v>2.0</v>
      </c>
      <c r="C337" s="5" t="str">
        <f>IFERROR(__xludf.DUMMYFUNCTION("""COMPUTED_VALUE"""),"S59")</f>
        <v>S59</v>
      </c>
      <c r="D337" s="4">
        <v>4.230139125551E12</v>
      </c>
      <c r="E337" s="4" t="s">
        <v>2402</v>
      </c>
      <c r="F337" s="4" t="s">
        <v>29</v>
      </c>
      <c r="G337" s="4" t="s">
        <v>516</v>
      </c>
      <c r="H337" s="4" t="s">
        <v>2454</v>
      </c>
      <c r="I337" s="4" t="s">
        <v>1188</v>
      </c>
      <c r="J337" s="4" t="s">
        <v>33</v>
      </c>
      <c r="K337" s="4" t="s">
        <v>2455</v>
      </c>
      <c r="L337" s="6">
        <v>47392.0</v>
      </c>
      <c r="M337" s="4">
        <v>4.230139125551E12</v>
      </c>
      <c r="N337" s="6">
        <v>32021.0</v>
      </c>
      <c r="O337" s="4" t="s">
        <v>148</v>
      </c>
      <c r="P337" s="4" t="s">
        <v>2456</v>
      </c>
      <c r="Q337" s="4" t="s">
        <v>133</v>
      </c>
      <c r="R337" s="7" t="s">
        <v>2457</v>
      </c>
      <c r="S337" s="7" t="s">
        <v>2457</v>
      </c>
      <c r="V337" s="4" t="s">
        <v>2458</v>
      </c>
      <c r="W337" s="4">
        <v>4.230161691711E12</v>
      </c>
      <c r="X337" s="4" t="s">
        <v>2459</v>
      </c>
      <c r="Y337" s="7" t="s">
        <v>2460</v>
      </c>
      <c r="Z337" s="7" t="s">
        <v>2461</v>
      </c>
      <c r="AA337" s="4" t="s">
        <v>2462</v>
      </c>
    </row>
    <row r="338" ht="22.5" customHeight="1">
      <c r="A338" s="3">
        <v>46200.599137268524</v>
      </c>
      <c r="B338" s="4">
        <v>2.0</v>
      </c>
      <c r="C338" s="5" t="str">
        <f>IFERROR(__xludf.DUMMYFUNCTION("""COMPUTED_VALUE"""),"S59")</f>
        <v>S59</v>
      </c>
      <c r="D338" s="4">
        <v>4.230139125551E12</v>
      </c>
      <c r="E338" s="4" t="s">
        <v>2432</v>
      </c>
      <c r="F338" s="4" t="s">
        <v>29</v>
      </c>
      <c r="G338" s="4" t="s">
        <v>2432</v>
      </c>
      <c r="H338" s="4" t="s">
        <v>2463</v>
      </c>
      <c r="I338" s="4" t="s">
        <v>2462</v>
      </c>
      <c r="J338" s="4" t="s">
        <v>60</v>
      </c>
      <c r="K338" s="4" t="s">
        <v>2464</v>
      </c>
      <c r="L338" s="6">
        <v>47393.0</v>
      </c>
      <c r="M338" s="4">
        <v>4.230181773778E12</v>
      </c>
      <c r="N338" s="6">
        <v>32740.0</v>
      </c>
      <c r="O338" s="4" t="s">
        <v>35</v>
      </c>
      <c r="P338" s="4" t="s">
        <v>2465</v>
      </c>
      <c r="Q338" s="4" t="s">
        <v>133</v>
      </c>
      <c r="R338" s="7" t="s">
        <v>2466</v>
      </c>
      <c r="S338" s="7" t="s">
        <v>2466</v>
      </c>
      <c r="T338" s="4" t="s">
        <v>2462</v>
      </c>
      <c r="U338" s="4" t="s">
        <v>193</v>
      </c>
      <c r="V338" s="4" t="s">
        <v>2467</v>
      </c>
      <c r="W338" s="4">
        <v>4.230161691711E12</v>
      </c>
      <c r="X338" s="4" t="s">
        <v>2468</v>
      </c>
      <c r="Y338" s="7" t="s">
        <v>2460</v>
      </c>
      <c r="Z338" s="7" t="s">
        <v>2461</v>
      </c>
      <c r="AA338" s="4" t="s">
        <v>2462</v>
      </c>
    </row>
    <row r="339" ht="22.5" customHeight="1">
      <c r="A339" s="3">
        <v>46201.73753150463</v>
      </c>
      <c r="B339" s="4">
        <v>5.0</v>
      </c>
      <c r="C339" s="5" t="str">
        <f>IFERROR(__xludf.DUMMYFUNCTION("""COMPUTED_VALUE"""),"L77")</f>
        <v>L77</v>
      </c>
      <c r="D339" s="4">
        <v>4.240102613121E12</v>
      </c>
      <c r="E339" s="4" t="s">
        <v>97</v>
      </c>
      <c r="F339" s="4" t="s">
        <v>45</v>
      </c>
      <c r="G339" s="4" t="s">
        <v>930</v>
      </c>
      <c r="H339" s="4" t="s">
        <v>2469</v>
      </c>
      <c r="I339" s="4" t="s">
        <v>930</v>
      </c>
      <c r="J339" s="4" t="s">
        <v>33</v>
      </c>
      <c r="M339" s="4">
        <v>4.240117401969E12</v>
      </c>
      <c r="N339" s="6">
        <v>26509.0</v>
      </c>
      <c r="O339" s="4" t="s">
        <v>148</v>
      </c>
      <c r="P339" s="4" t="s">
        <v>2470</v>
      </c>
      <c r="Q339" s="4" t="s">
        <v>431</v>
      </c>
      <c r="R339" s="7" t="s">
        <v>2317</v>
      </c>
      <c r="S339" s="7" t="s">
        <v>2317</v>
      </c>
      <c r="V339" s="4" t="s">
        <v>2314</v>
      </c>
      <c r="W339" s="4">
        <v>4.200004287093E12</v>
      </c>
      <c r="X339" s="4" t="s">
        <v>650</v>
      </c>
      <c r="Y339" s="7" t="s">
        <v>2318</v>
      </c>
      <c r="Z339" s="4" t="s">
        <v>2471</v>
      </c>
      <c r="AA339" s="4" t="s">
        <v>2472</v>
      </c>
    </row>
    <row r="340" ht="22.5" customHeight="1">
      <c r="A340" s="3">
        <v>46201.74150753472</v>
      </c>
      <c r="B340" s="4">
        <v>5.0</v>
      </c>
      <c r="C340" s="5" t="str">
        <f>IFERROR(__xludf.DUMMYFUNCTION("""COMPUTED_VALUE"""),"L77")</f>
        <v>L77</v>
      </c>
      <c r="D340" s="4">
        <v>4.240102613121E12</v>
      </c>
      <c r="E340" s="4" t="s">
        <v>97</v>
      </c>
      <c r="F340" s="4" t="s">
        <v>45</v>
      </c>
      <c r="G340" s="4" t="s">
        <v>1736</v>
      </c>
      <c r="H340" s="4" t="s">
        <v>2473</v>
      </c>
      <c r="I340" s="4" t="s">
        <v>2469</v>
      </c>
      <c r="J340" s="4" t="s">
        <v>60</v>
      </c>
      <c r="M340" s="4">
        <v>4.24019025662E12</v>
      </c>
      <c r="N340" s="6">
        <v>27942.0</v>
      </c>
      <c r="O340" s="4" t="s">
        <v>148</v>
      </c>
      <c r="P340" s="4" t="s">
        <v>2474</v>
      </c>
      <c r="Q340" s="4" t="s">
        <v>431</v>
      </c>
      <c r="R340" s="7" t="s">
        <v>2317</v>
      </c>
      <c r="S340" s="7" t="s">
        <v>2317</v>
      </c>
      <c r="T340" s="4" t="s">
        <v>2469</v>
      </c>
      <c r="U340" s="4" t="s">
        <v>65</v>
      </c>
      <c r="V340" s="4" t="s">
        <v>2314</v>
      </c>
      <c r="W340" s="4">
        <v>4.200004287093E12</v>
      </c>
      <c r="X340" s="4" t="s">
        <v>650</v>
      </c>
      <c r="Y340" s="7" t="s">
        <v>2318</v>
      </c>
      <c r="Z340" s="4" t="s">
        <v>2471</v>
      </c>
      <c r="AA340" s="4" t="s">
        <v>2472</v>
      </c>
    </row>
    <row r="341" ht="22.5" customHeight="1">
      <c r="A341" s="3">
        <v>46201.947685520834</v>
      </c>
      <c r="B341" s="4">
        <v>2.0</v>
      </c>
      <c r="C341" s="5" t="str">
        <f>IFERROR(__xludf.DUMMYFUNCTION("""COMPUTED_VALUE"""),"S60")</f>
        <v>S60</v>
      </c>
      <c r="D341" s="4" t="s">
        <v>2475</v>
      </c>
      <c r="E341" s="4" t="s">
        <v>2476</v>
      </c>
      <c r="F341" s="4" t="s">
        <v>29</v>
      </c>
      <c r="G341" s="4" t="s">
        <v>2196</v>
      </c>
      <c r="H341" s="4" t="s">
        <v>2477</v>
      </c>
      <c r="I341" s="4" t="s">
        <v>2478</v>
      </c>
      <c r="J341" s="4" t="s">
        <v>33</v>
      </c>
      <c r="K341" s="4" t="s">
        <v>2479</v>
      </c>
      <c r="L341" s="6">
        <v>47894.0</v>
      </c>
      <c r="M341" s="4" t="s">
        <v>2480</v>
      </c>
      <c r="N341" s="6">
        <v>35580.0</v>
      </c>
      <c r="O341" s="4" t="s">
        <v>160</v>
      </c>
      <c r="P341" s="4" t="s">
        <v>2481</v>
      </c>
      <c r="Q341" s="4" t="s">
        <v>37</v>
      </c>
      <c r="R341" s="7" t="s">
        <v>2482</v>
      </c>
      <c r="S341" s="7" t="s">
        <v>2482</v>
      </c>
      <c r="V341" s="4" t="s">
        <v>2483</v>
      </c>
      <c r="W341" s="4" t="s">
        <v>2484</v>
      </c>
      <c r="X341" s="4" t="s">
        <v>310</v>
      </c>
      <c r="Y341" s="7" t="s">
        <v>2485</v>
      </c>
      <c r="Z341" s="4" t="s">
        <v>2486</v>
      </c>
      <c r="AA341" s="4" t="s">
        <v>1805</v>
      </c>
    </row>
    <row r="342" ht="22.5" customHeight="1">
      <c r="A342" s="3">
        <v>46201.95180019676</v>
      </c>
      <c r="B342" s="4">
        <v>2.0</v>
      </c>
      <c r="C342" s="5" t="str">
        <f>IFERROR(__xludf.DUMMYFUNCTION("""COMPUTED_VALUE"""),"S60")</f>
        <v>S60</v>
      </c>
      <c r="D342" s="4" t="s">
        <v>2475</v>
      </c>
      <c r="E342" s="4" t="s">
        <v>2476</v>
      </c>
      <c r="F342" s="4" t="s">
        <v>29</v>
      </c>
      <c r="G342" s="4" t="s">
        <v>2196</v>
      </c>
      <c r="H342" s="4" t="s">
        <v>2487</v>
      </c>
      <c r="I342" s="4" t="s">
        <v>2476</v>
      </c>
      <c r="J342" s="4" t="s">
        <v>60</v>
      </c>
      <c r="K342" s="4" t="s">
        <v>2488</v>
      </c>
      <c r="L342" s="6">
        <v>47894.0</v>
      </c>
      <c r="M342" s="4" t="s">
        <v>2489</v>
      </c>
      <c r="N342" s="6">
        <v>37586.0</v>
      </c>
      <c r="O342" s="4" t="s">
        <v>160</v>
      </c>
      <c r="P342" s="4" t="s">
        <v>2481</v>
      </c>
      <c r="Q342" s="4" t="s">
        <v>37</v>
      </c>
      <c r="R342" s="7" t="s">
        <v>2490</v>
      </c>
      <c r="S342" s="7" t="s">
        <v>2490</v>
      </c>
      <c r="T342" s="4" t="s">
        <v>2476</v>
      </c>
      <c r="U342" s="4" t="s">
        <v>193</v>
      </c>
      <c r="V342" s="4" t="s">
        <v>2483</v>
      </c>
      <c r="W342" s="4" t="s">
        <v>2484</v>
      </c>
      <c r="X342" s="4" t="s">
        <v>358</v>
      </c>
      <c r="Y342" s="7" t="s">
        <v>2485</v>
      </c>
      <c r="Z342" s="7" t="s">
        <v>2491</v>
      </c>
      <c r="AA342" s="4" t="s">
        <v>1805</v>
      </c>
    </row>
    <row r="343" ht="22.5" customHeight="1">
      <c r="A343" s="3">
        <v>46203.06071204861</v>
      </c>
      <c r="B343" s="4">
        <v>2.0</v>
      </c>
      <c r="C343" s="5" t="str">
        <f>IFERROR(__xludf.DUMMYFUNCTION("""COMPUTED_VALUE"""),"S61")</f>
        <v>S61</v>
      </c>
      <c r="D343" s="4">
        <v>4.220181951149E12</v>
      </c>
      <c r="E343" s="4" t="s">
        <v>2492</v>
      </c>
      <c r="F343" s="4" t="s">
        <v>29</v>
      </c>
      <c r="G343" s="4" t="s">
        <v>2493</v>
      </c>
      <c r="H343" s="4" t="s">
        <v>2492</v>
      </c>
      <c r="I343" s="4" t="s">
        <v>2493</v>
      </c>
      <c r="J343" s="4" t="s">
        <v>33</v>
      </c>
      <c r="K343" s="4" t="s">
        <v>2494</v>
      </c>
      <c r="L343" s="6">
        <v>47013.0</v>
      </c>
      <c r="M343" s="4">
        <v>4.220181951149E12</v>
      </c>
      <c r="N343" s="6">
        <v>32068.0</v>
      </c>
      <c r="O343" s="4" t="s">
        <v>1075</v>
      </c>
      <c r="P343" s="4" t="s">
        <v>2495</v>
      </c>
      <c r="Q343" s="4" t="s">
        <v>119</v>
      </c>
      <c r="R343" s="7" t="s">
        <v>2496</v>
      </c>
      <c r="S343" s="7" t="s">
        <v>2496</v>
      </c>
      <c r="V343" s="4" t="s">
        <v>2497</v>
      </c>
      <c r="W343" s="4">
        <v>4.22013258499E12</v>
      </c>
      <c r="X343" s="4" t="s">
        <v>825</v>
      </c>
      <c r="Y343" s="7" t="s">
        <v>2498</v>
      </c>
      <c r="Z343" s="4" t="s">
        <v>2499</v>
      </c>
      <c r="AA343" s="4" t="s">
        <v>2500</v>
      </c>
    </row>
    <row r="344" ht="22.5" customHeight="1">
      <c r="A344" s="3">
        <v>46203.07040895833</v>
      </c>
      <c r="B344" s="4">
        <v>2.0</v>
      </c>
      <c r="C344" s="5" t="str">
        <f>IFERROR(__xludf.DUMMYFUNCTION("""COMPUTED_VALUE"""),"S61")</f>
        <v>S61</v>
      </c>
      <c r="D344" s="4">
        <v>4.220181951149E12</v>
      </c>
      <c r="E344" s="4" t="s">
        <v>2492</v>
      </c>
      <c r="F344" s="4" t="s">
        <v>29</v>
      </c>
      <c r="G344" s="4" t="s">
        <v>2492</v>
      </c>
      <c r="H344" s="4" t="s">
        <v>2497</v>
      </c>
      <c r="I344" s="4" t="s">
        <v>2501</v>
      </c>
      <c r="J344" s="4" t="s">
        <v>60</v>
      </c>
      <c r="K344" s="4" t="s">
        <v>2502</v>
      </c>
      <c r="L344" s="6">
        <v>47789.0</v>
      </c>
      <c r="M344" s="4">
        <v>4.22013258499E12</v>
      </c>
      <c r="N344" s="6">
        <v>33781.0</v>
      </c>
      <c r="O344" s="4" t="s">
        <v>1075</v>
      </c>
      <c r="P344" s="4" t="s">
        <v>2503</v>
      </c>
      <c r="Q344" s="4" t="s">
        <v>52</v>
      </c>
      <c r="R344" s="7" t="s">
        <v>2498</v>
      </c>
      <c r="S344" s="7" t="s">
        <v>2498</v>
      </c>
      <c r="T344" s="4" t="s">
        <v>2501</v>
      </c>
      <c r="U344" s="4" t="s">
        <v>270</v>
      </c>
      <c r="V344" s="4" t="s">
        <v>2492</v>
      </c>
      <c r="W344" s="4">
        <v>4.220181951149E12</v>
      </c>
      <c r="X344" s="4" t="s">
        <v>2504</v>
      </c>
      <c r="Y344" s="7" t="s">
        <v>2496</v>
      </c>
      <c r="Z344" s="4" t="s">
        <v>2499</v>
      </c>
      <c r="AA344" s="4" t="s">
        <v>2500</v>
      </c>
    </row>
    <row r="345" ht="22.5" customHeight="1">
      <c r="A345" s="3">
        <v>46203.21677987269</v>
      </c>
      <c r="B345" s="4">
        <v>1.0</v>
      </c>
      <c r="C345" s="5" t="str">
        <f>IFERROR(__xludf.DUMMYFUNCTION("""COMPUTED_VALUE"""),"S62")</f>
        <v>S62</v>
      </c>
      <c r="D345" s="4">
        <v>4.230144545283E12</v>
      </c>
      <c r="E345" s="4" t="s">
        <v>2505</v>
      </c>
      <c r="F345" s="4" t="s">
        <v>29</v>
      </c>
      <c r="G345" s="4" t="s">
        <v>251</v>
      </c>
      <c r="H345" s="4" t="s">
        <v>31</v>
      </c>
      <c r="I345" s="4" t="s">
        <v>2506</v>
      </c>
      <c r="J345" s="4" t="s">
        <v>33</v>
      </c>
      <c r="K345" s="4" t="s">
        <v>2507</v>
      </c>
      <c r="L345" s="6">
        <v>47694.0</v>
      </c>
      <c r="M345" s="4">
        <v>4.230144545283E12</v>
      </c>
      <c r="N345" s="6">
        <v>38231.0</v>
      </c>
      <c r="O345" s="4" t="s">
        <v>177</v>
      </c>
      <c r="P345" s="4" t="s">
        <v>2508</v>
      </c>
      <c r="Q345" s="4" t="s">
        <v>37</v>
      </c>
      <c r="R345" s="7" t="s">
        <v>2509</v>
      </c>
      <c r="S345" s="7" t="s">
        <v>2509</v>
      </c>
      <c r="V345" s="4" t="s">
        <v>2506</v>
      </c>
      <c r="W345" s="4">
        <v>4.230142939223E12</v>
      </c>
      <c r="X345" s="4" t="s">
        <v>40</v>
      </c>
      <c r="Y345" s="7" t="s">
        <v>2510</v>
      </c>
      <c r="Z345" s="4" t="s">
        <v>2511</v>
      </c>
    </row>
    <row r="346" ht="22.5" customHeight="1">
      <c r="A346" s="3">
        <v>46203.830481446756</v>
      </c>
      <c r="B346" s="4">
        <v>1.0</v>
      </c>
      <c r="C346" s="5" t="str">
        <f>IFERROR(__xludf.DUMMYFUNCTION("""COMPUTED_VALUE"""),"S63")</f>
        <v>S63</v>
      </c>
      <c r="D346" s="4">
        <v>4.220131067629E12</v>
      </c>
      <c r="E346" s="4" t="s">
        <v>2512</v>
      </c>
      <c r="F346" s="4" t="s">
        <v>29</v>
      </c>
      <c r="G346" s="4" t="s">
        <v>2513</v>
      </c>
      <c r="H346" s="4" t="s">
        <v>2512</v>
      </c>
      <c r="I346" s="4" t="s">
        <v>2514</v>
      </c>
      <c r="J346" s="4" t="s">
        <v>33</v>
      </c>
      <c r="K346" s="4" t="s">
        <v>2515</v>
      </c>
      <c r="L346" s="6">
        <v>49437.0</v>
      </c>
      <c r="M346" s="4">
        <v>4.220131067629E12</v>
      </c>
      <c r="N346" s="6">
        <v>34911.0</v>
      </c>
      <c r="O346" s="4" t="s">
        <v>2049</v>
      </c>
      <c r="P346" s="4" t="s">
        <v>2516</v>
      </c>
      <c r="Q346" s="4" t="s">
        <v>37</v>
      </c>
      <c r="R346" s="7" t="s">
        <v>2517</v>
      </c>
      <c r="S346" s="7" t="s">
        <v>2517</v>
      </c>
      <c r="T346" s="4" t="s">
        <v>1015</v>
      </c>
      <c r="U346" s="4" t="s">
        <v>1015</v>
      </c>
      <c r="V346" s="4" t="s">
        <v>2518</v>
      </c>
      <c r="W346" s="4" t="s">
        <v>2518</v>
      </c>
      <c r="X346" s="4" t="s">
        <v>1015</v>
      </c>
      <c r="Y346" s="4" t="s">
        <v>1015</v>
      </c>
      <c r="Z346" s="4" t="s">
        <v>2519</v>
      </c>
      <c r="AA346" s="4" t="s">
        <v>2518</v>
      </c>
    </row>
    <row r="347" ht="22.5" customHeight="1">
      <c r="A347" s="3">
        <v>46205.05735528935</v>
      </c>
      <c r="B347" s="4">
        <v>2.0</v>
      </c>
      <c r="C347" s="5" t="str">
        <f>IFERROR(__xludf.DUMMYFUNCTION("""COMPUTED_VALUE"""),"L85")</f>
        <v>L85</v>
      </c>
      <c r="D347" s="4" t="s">
        <v>2520</v>
      </c>
      <c r="E347" s="4" t="s">
        <v>2521</v>
      </c>
      <c r="F347" s="4" t="s">
        <v>45</v>
      </c>
      <c r="G347" s="4" t="s">
        <v>2522</v>
      </c>
      <c r="H347" s="4" t="s">
        <v>516</v>
      </c>
      <c r="I347" s="4" t="s">
        <v>516</v>
      </c>
      <c r="J347" s="4" t="s">
        <v>33</v>
      </c>
      <c r="K347" s="4" t="s">
        <v>2523</v>
      </c>
      <c r="L347" s="6">
        <v>48029.0</v>
      </c>
      <c r="M347" s="4" t="s">
        <v>2524</v>
      </c>
      <c r="N347" s="6">
        <v>34071.0</v>
      </c>
      <c r="O347" s="4" t="s">
        <v>529</v>
      </c>
      <c r="P347" s="4" t="s">
        <v>2525</v>
      </c>
      <c r="Q347" s="4" t="s">
        <v>52</v>
      </c>
      <c r="R347" s="7" t="s">
        <v>2526</v>
      </c>
      <c r="S347" s="7" t="s">
        <v>2526</v>
      </c>
      <c r="T347" s="4" t="s">
        <v>587</v>
      </c>
      <c r="U347" s="4" t="s">
        <v>1483</v>
      </c>
      <c r="V347" s="4" t="s">
        <v>2527</v>
      </c>
      <c r="W347" s="4" t="s">
        <v>2528</v>
      </c>
      <c r="X347" s="4" t="s">
        <v>310</v>
      </c>
      <c r="Y347" s="7" t="s">
        <v>2529</v>
      </c>
    </row>
    <row r="348" ht="22.5" customHeight="1">
      <c r="A348" s="3">
        <v>46205.620735069446</v>
      </c>
      <c r="B348" s="4">
        <v>2.0</v>
      </c>
      <c r="C348" s="5" t="str">
        <f>IFERROR(__xludf.DUMMYFUNCTION("""COMPUTED_VALUE"""),"L86")</f>
        <v>L86</v>
      </c>
      <c r="D348" s="4" t="s">
        <v>2530</v>
      </c>
      <c r="E348" s="4" t="s">
        <v>2531</v>
      </c>
      <c r="F348" s="4" t="s">
        <v>45</v>
      </c>
      <c r="G348" s="4" t="s">
        <v>2532</v>
      </c>
      <c r="H348" s="4" t="s">
        <v>31</v>
      </c>
      <c r="I348" s="4" t="s">
        <v>2533</v>
      </c>
      <c r="J348" s="4" t="s">
        <v>33</v>
      </c>
      <c r="K348" s="4" t="s">
        <v>2534</v>
      </c>
      <c r="L348" s="6">
        <v>47338.0</v>
      </c>
      <c r="M348" s="4" t="s">
        <v>2530</v>
      </c>
      <c r="N348" s="6">
        <v>32366.0</v>
      </c>
      <c r="O348" s="4" t="s">
        <v>160</v>
      </c>
      <c r="P348" s="4" t="s">
        <v>2535</v>
      </c>
      <c r="Q348" s="4" t="s">
        <v>119</v>
      </c>
      <c r="R348" s="7" t="s">
        <v>2536</v>
      </c>
      <c r="S348" s="7" t="s">
        <v>2536</v>
      </c>
      <c r="V348" s="4" t="s">
        <v>1684</v>
      </c>
      <c r="W348" s="4" t="s">
        <v>2537</v>
      </c>
      <c r="X348" s="4" t="s">
        <v>310</v>
      </c>
      <c r="Y348" s="7" t="s">
        <v>2538</v>
      </c>
      <c r="Z348" s="4" t="s">
        <v>2539</v>
      </c>
      <c r="AA348" s="4" t="s">
        <v>2540</v>
      </c>
    </row>
    <row r="349" ht="22.5" customHeight="1">
      <c r="A349" s="3">
        <v>46205.733238333334</v>
      </c>
      <c r="B349" s="4">
        <v>2.0</v>
      </c>
      <c r="C349" s="5" t="str">
        <f>IFERROR(__xludf.DUMMYFUNCTION("""COMPUTED_VALUE"""),"S64")</f>
        <v>S64</v>
      </c>
      <c r="D349" s="4">
        <v>4.230111388379E12</v>
      </c>
      <c r="E349" s="4" t="s">
        <v>2541</v>
      </c>
      <c r="F349" s="4" t="s">
        <v>29</v>
      </c>
      <c r="G349" s="4" t="s">
        <v>2542</v>
      </c>
      <c r="H349" s="4" t="s">
        <v>554</v>
      </c>
      <c r="I349" s="4" t="s">
        <v>2543</v>
      </c>
      <c r="J349" s="4" t="s">
        <v>33</v>
      </c>
      <c r="M349" s="4">
        <v>4.230111388379E12</v>
      </c>
      <c r="N349" s="6">
        <v>32284.0</v>
      </c>
      <c r="O349" s="4" t="s">
        <v>758</v>
      </c>
      <c r="P349" s="4" t="s">
        <v>2544</v>
      </c>
      <c r="Q349" s="4" t="s">
        <v>37</v>
      </c>
      <c r="R349" s="7" t="s">
        <v>2545</v>
      </c>
      <c r="S349" s="7" t="s">
        <v>2545</v>
      </c>
      <c r="V349" s="4" t="s">
        <v>2546</v>
      </c>
      <c r="W349" s="4">
        <v>42301.0</v>
      </c>
      <c r="X349" s="4" t="s">
        <v>1483</v>
      </c>
      <c r="Y349" s="7" t="s">
        <v>2547</v>
      </c>
    </row>
    <row r="350" ht="22.5" customHeight="1">
      <c r="A350" s="3">
        <v>46205.73506799768</v>
      </c>
      <c r="B350" s="4">
        <v>2.0</v>
      </c>
      <c r="C350" s="5" t="str">
        <f>IFERROR(__xludf.DUMMYFUNCTION("""COMPUTED_VALUE"""),"")</f>
        <v/>
      </c>
      <c r="E350" s="4" t="s">
        <v>2548</v>
      </c>
      <c r="F350" s="4" t="s">
        <v>29</v>
      </c>
      <c r="G350" s="4" t="s">
        <v>2542</v>
      </c>
      <c r="H350" s="4" t="s">
        <v>2384</v>
      </c>
      <c r="I350" s="4" t="s">
        <v>2541</v>
      </c>
      <c r="J350" s="4" t="s">
        <v>60</v>
      </c>
      <c r="M350" s="4">
        <v>4.22018321969E12</v>
      </c>
      <c r="N350" s="6">
        <v>34475.0</v>
      </c>
      <c r="O350" s="4" t="s">
        <v>2549</v>
      </c>
      <c r="P350" s="4" t="s">
        <v>2544</v>
      </c>
      <c r="Q350" s="4" t="s">
        <v>37</v>
      </c>
      <c r="R350" s="7" t="s">
        <v>2545</v>
      </c>
      <c r="S350" s="7" t="s">
        <v>2545</v>
      </c>
      <c r="T350" s="4" t="s">
        <v>2541</v>
      </c>
      <c r="U350" s="4" t="s">
        <v>193</v>
      </c>
      <c r="V350" s="4" t="s">
        <v>2550</v>
      </c>
      <c r="W350" s="4">
        <v>42301.0</v>
      </c>
      <c r="X350" s="4" t="s">
        <v>1849</v>
      </c>
      <c r="Y350" s="7" t="s">
        <v>2547</v>
      </c>
    </row>
    <row r="351" ht="22.5" customHeight="1">
      <c r="A351" s="3">
        <v>46205.970319872686</v>
      </c>
      <c r="B351" s="4">
        <v>2.0</v>
      </c>
      <c r="C351" s="5" t="str">
        <f>IFERROR(__xludf.DUMMYFUNCTION("""COMPUTED_VALUE"""),"S65")</f>
        <v>S65</v>
      </c>
      <c r="D351" s="4" t="s">
        <v>2551</v>
      </c>
      <c r="E351" s="4" t="s">
        <v>2552</v>
      </c>
      <c r="F351" s="4" t="s">
        <v>29</v>
      </c>
      <c r="G351" s="4" t="s">
        <v>1368</v>
      </c>
      <c r="H351" s="4" t="s">
        <v>2553</v>
      </c>
      <c r="I351" s="4" t="s">
        <v>2554</v>
      </c>
      <c r="J351" s="4" t="s">
        <v>33</v>
      </c>
      <c r="K351" s="4" t="s">
        <v>2555</v>
      </c>
      <c r="L351" s="6">
        <v>47364.0</v>
      </c>
      <c r="M351" s="4" t="s">
        <v>2551</v>
      </c>
      <c r="N351" s="6">
        <v>33254.0</v>
      </c>
      <c r="O351" s="4" t="s">
        <v>111</v>
      </c>
      <c r="P351" s="4">
        <v>75850.0</v>
      </c>
      <c r="Q351" s="4" t="s">
        <v>52</v>
      </c>
      <c r="R351" s="4" t="s">
        <v>2134</v>
      </c>
      <c r="S351" s="7" t="s">
        <v>2556</v>
      </c>
      <c r="T351" s="4" t="s">
        <v>1015</v>
      </c>
      <c r="U351" s="4" t="s">
        <v>1015</v>
      </c>
      <c r="V351" s="4" t="s">
        <v>2554</v>
      </c>
      <c r="W351" s="4" t="s">
        <v>2557</v>
      </c>
      <c r="X351" s="4" t="s">
        <v>630</v>
      </c>
      <c r="Y351" s="7" t="s">
        <v>2558</v>
      </c>
      <c r="Z351" s="4" t="s">
        <v>2559</v>
      </c>
      <c r="AA351" s="4" t="s">
        <v>2552</v>
      </c>
    </row>
    <row r="352" ht="22.5" customHeight="1">
      <c r="A352" s="3">
        <v>46206.49673697917</v>
      </c>
      <c r="B352" s="4">
        <v>4.0</v>
      </c>
      <c r="C352" s="5" t="str">
        <f>IFERROR(__xludf.DUMMYFUNCTION("""COMPUTED_VALUE"""),"L72")</f>
        <v>L72</v>
      </c>
      <c r="D352" s="4" t="s">
        <v>453</v>
      </c>
      <c r="E352" s="4" t="s">
        <v>2560</v>
      </c>
      <c r="F352" s="4" t="s">
        <v>45</v>
      </c>
      <c r="G352" s="4" t="s">
        <v>2561</v>
      </c>
      <c r="H352" s="4" t="s">
        <v>453</v>
      </c>
      <c r="I352" s="4" t="s">
        <v>2560</v>
      </c>
      <c r="J352" s="4" t="s">
        <v>33</v>
      </c>
      <c r="K352" s="4" t="s">
        <v>2562</v>
      </c>
      <c r="L352" s="6">
        <v>46951.0</v>
      </c>
      <c r="M352" s="4">
        <v>4.220149796881E12</v>
      </c>
      <c r="N352" s="6">
        <v>32147.0</v>
      </c>
      <c r="O352" s="4" t="s">
        <v>160</v>
      </c>
      <c r="P352" s="4">
        <v>74800.0</v>
      </c>
      <c r="Q352" s="4" t="s">
        <v>37</v>
      </c>
      <c r="R352" s="7" t="s">
        <v>2563</v>
      </c>
      <c r="S352" s="7" t="s">
        <v>2563</v>
      </c>
      <c r="T352" s="4" t="s">
        <v>453</v>
      </c>
      <c r="U352" s="4" t="s">
        <v>67</v>
      </c>
      <c r="V352" s="4" t="s">
        <v>2564</v>
      </c>
      <c r="W352" s="4">
        <v>4.220166674701E12</v>
      </c>
      <c r="X352" s="4" t="s">
        <v>79</v>
      </c>
      <c r="Y352" s="7" t="s">
        <v>2565</v>
      </c>
      <c r="Z352" s="7" t="s">
        <v>2566</v>
      </c>
      <c r="AA352" s="4" t="s">
        <v>453</v>
      </c>
    </row>
    <row r="353" ht="22.5" customHeight="1">
      <c r="A353" s="3">
        <v>46209.75147584491</v>
      </c>
      <c r="B353" s="4">
        <v>2.0</v>
      </c>
      <c r="C353" s="5" t="str">
        <f>IFERROR(__xludf.DUMMYFUNCTION("""COMPUTED_VALUE"""),"L87")</f>
        <v>L87</v>
      </c>
      <c r="D353" s="4">
        <v>4.220116828905E12</v>
      </c>
      <c r="E353" s="4" t="s">
        <v>2567</v>
      </c>
      <c r="F353" s="4" t="s">
        <v>45</v>
      </c>
      <c r="G353" s="4" t="s">
        <v>2567</v>
      </c>
      <c r="H353" s="4" t="s">
        <v>2567</v>
      </c>
      <c r="I353" s="4" t="s">
        <v>2568</v>
      </c>
      <c r="J353" s="4" t="s">
        <v>33</v>
      </c>
      <c r="M353" s="4">
        <v>4.220116828905E12</v>
      </c>
      <c r="N353" s="6">
        <v>29655.0</v>
      </c>
      <c r="O353" s="4" t="s">
        <v>429</v>
      </c>
      <c r="P353" s="4" t="s">
        <v>2569</v>
      </c>
      <c r="Q353" s="4" t="s">
        <v>52</v>
      </c>
      <c r="R353" s="7" t="s">
        <v>2570</v>
      </c>
      <c r="S353" s="7" t="s">
        <v>2570</v>
      </c>
      <c r="T353" s="4" t="s">
        <v>2571</v>
      </c>
      <c r="U353" s="4" t="s">
        <v>67</v>
      </c>
      <c r="V353" s="4" t="s">
        <v>2571</v>
      </c>
      <c r="W353" s="4">
        <v>4.220188277992E12</v>
      </c>
      <c r="X353" s="4" t="s">
        <v>193</v>
      </c>
      <c r="Y353" s="7" t="s">
        <v>2572</v>
      </c>
      <c r="Z353" s="4" t="s">
        <v>2573</v>
      </c>
      <c r="AA353" s="4" t="s">
        <v>2574</v>
      </c>
    </row>
    <row r="354" ht="22.5" customHeight="1">
      <c r="A354" s="3">
        <v>46210.40233092592</v>
      </c>
      <c r="B354" s="4">
        <v>1.0</v>
      </c>
      <c r="C354" s="5" t="str">
        <f>IFERROR(__xludf.DUMMYFUNCTION("""COMPUTED_VALUE"""),"L88")</f>
        <v>L88</v>
      </c>
      <c r="D354" s="4" t="s">
        <v>2575</v>
      </c>
      <c r="E354" s="4" t="s">
        <v>2576</v>
      </c>
      <c r="F354" s="4" t="s">
        <v>45</v>
      </c>
      <c r="G354" s="4" t="s">
        <v>2577</v>
      </c>
      <c r="H354" s="4" t="s">
        <v>2576</v>
      </c>
      <c r="I354" s="4" t="s">
        <v>2578</v>
      </c>
      <c r="J354" s="4" t="s">
        <v>33</v>
      </c>
      <c r="K354" s="4" t="s">
        <v>2579</v>
      </c>
      <c r="L354" s="6">
        <v>49840.0</v>
      </c>
      <c r="M354" s="4" t="s">
        <v>2575</v>
      </c>
      <c r="N354" s="6">
        <v>34429.0</v>
      </c>
      <c r="O354" s="4" t="s">
        <v>160</v>
      </c>
      <c r="P354" s="4" t="s">
        <v>2580</v>
      </c>
      <c r="Q354" s="4" t="s">
        <v>133</v>
      </c>
      <c r="R354" s="7" t="s">
        <v>2581</v>
      </c>
      <c r="S354" s="7" t="s">
        <v>2581</v>
      </c>
      <c r="V354" s="4" t="s">
        <v>2578</v>
      </c>
      <c r="W354" s="4" t="s">
        <v>2582</v>
      </c>
      <c r="X354" s="4" t="s">
        <v>40</v>
      </c>
      <c r="Y354" s="7" t="s">
        <v>2583</v>
      </c>
      <c r="Z354" s="4" t="s">
        <v>2584</v>
      </c>
      <c r="AA354" s="4" t="s">
        <v>2585</v>
      </c>
    </row>
    <row r="355" ht="22.5" customHeight="1">
      <c r="A355" s="3">
        <v>46210.54221767361</v>
      </c>
      <c r="B355" s="4">
        <v>2.0</v>
      </c>
      <c r="C355" s="5" t="str">
        <f>IFERROR(__xludf.DUMMYFUNCTION("""COMPUTED_VALUE"""),"L89")</f>
        <v>L89</v>
      </c>
      <c r="D355" s="4" t="s">
        <v>2586</v>
      </c>
      <c r="E355" s="4" t="s">
        <v>2587</v>
      </c>
      <c r="F355" s="4" t="s">
        <v>45</v>
      </c>
      <c r="G355" s="4" t="s">
        <v>2588</v>
      </c>
      <c r="H355" s="4" t="s">
        <v>2589</v>
      </c>
      <c r="I355" s="4" t="s">
        <v>2590</v>
      </c>
      <c r="J355" s="4" t="s">
        <v>60</v>
      </c>
      <c r="M355" s="4" t="s">
        <v>2591</v>
      </c>
      <c r="N355" s="6">
        <v>29106.0</v>
      </c>
      <c r="O355" s="4" t="s">
        <v>1597</v>
      </c>
      <c r="P355" s="4" t="s">
        <v>2592</v>
      </c>
      <c r="Q355" s="4" t="s">
        <v>37</v>
      </c>
      <c r="R355" s="4" t="s">
        <v>2593</v>
      </c>
      <c r="S355" s="4" t="s">
        <v>2594</v>
      </c>
      <c r="T355" s="4" t="s">
        <v>2587</v>
      </c>
      <c r="U355" s="4" t="s">
        <v>87</v>
      </c>
      <c r="V355" s="4" t="s">
        <v>2595</v>
      </c>
      <c r="W355" s="4" t="s">
        <v>2596</v>
      </c>
      <c r="X355" s="4" t="s">
        <v>87</v>
      </c>
      <c r="Y355" s="4" t="s">
        <v>2597</v>
      </c>
      <c r="Z355" s="7" t="s">
        <v>2598</v>
      </c>
      <c r="AA355" s="4" t="s">
        <v>2589</v>
      </c>
    </row>
    <row r="356" ht="22.5" customHeight="1">
      <c r="A356" s="3">
        <v>46210.54325797454</v>
      </c>
      <c r="B356" s="4">
        <v>1.0</v>
      </c>
      <c r="C356" s="5" t="str">
        <f>IFERROR(__xludf.DUMMYFUNCTION("""COMPUTED_VALUE"""),"S66")</f>
        <v>S66</v>
      </c>
      <c r="D356" s="4" t="s">
        <v>2599</v>
      </c>
      <c r="E356" s="4" t="s">
        <v>2600</v>
      </c>
      <c r="F356" s="4" t="s">
        <v>29</v>
      </c>
      <c r="G356" s="4" t="s">
        <v>913</v>
      </c>
      <c r="H356" s="4" t="s">
        <v>2600</v>
      </c>
      <c r="I356" s="4" t="s">
        <v>2601</v>
      </c>
      <c r="J356" s="4" t="s">
        <v>33</v>
      </c>
      <c r="K356" s="4" t="s">
        <v>2602</v>
      </c>
      <c r="L356" s="6">
        <v>49597.0</v>
      </c>
      <c r="M356" s="4" t="s">
        <v>2599</v>
      </c>
      <c r="N356" s="6">
        <v>31618.0</v>
      </c>
      <c r="O356" s="4" t="s">
        <v>111</v>
      </c>
      <c r="P356" s="4" t="s">
        <v>2603</v>
      </c>
      <c r="Q356" s="4" t="s">
        <v>119</v>
      </c>
      <c r="R356" s="7" t="s">
        <v>2604</v>
      </c>
      <c r="S356" s="7" t="s">
        <v>2604</v>
      </c>
      <c r="V356" s="4" t="s">
        <v>1235</v>
      </c>
      <c r="W356" s="4" t="s">
        <v>2605</v>
      </c>
      <c r="X356" s="4" t="s">
        <v>67</v>
      </c>
      <c r="Y356" s="7" t="s">
        <v>2606</v>
      </c>
      <c r="Z356" s="4" t="s">
        <v>2607</v>
      </c>
      <c r="AA356" s="4" t="s">
        <v>2608</v>
      </c>
    </row>
    <row r="357" ht="22.5" customHeight="1">
      <c r="A357" s="3">
        <v>46210.54662466435</v>
      </c>
      <c r="B357" s="4">
        <v>2.0</v>
      </c>
      <c r="C357" s="5" t="str">
        <f>IFERROR(__xludf.DUMMYFUNCTION("""COMPUTED_VALUE"""),"L89")</f>
        <v>L89</v>
      </c>
      <c r="D357" s="4" t="s">
        <v>2586</v>
      </c>
      <c r="E357" s="4" t="s">
        <v>2587</v>
      </c>
      <c r="F357" s="4" t="s">
        <v>45</v>
      </c>
      <c r="G357" s="4" t="s">
        <v>2609</v>
      </c>
      <c r="H357" s="4" t="s">
        <v>2587</v>
      </c>
      <c r="I357" s="4" t="s">
        <v>2590</v>
      </c>
      <c r="J357" s="4" t="s">
        <v>33</v>
      </c>
      <c r="M357" s="4" t="s">
        <v>2586</v>
      </c>
      <c r="N357" s="6">
        <v>37902.0</v>
      </c>
      <c r="O357" s="4" t="s">
        <v>674</v>
      </c>
      <c r="P357" s="4" t="s">
        <v>2610</v>
      </c>
      <c r="Q357" s="4" t="s">
        <v>133</v>
      </c>
      <c r="R357" s="4" t="s">
        <v>2611</v>
      </c>
      <c r="S357" s="4" t="s">
        <v>2611</v>
      </c>
      <c r="V357" s="4" t="s">
        <v>2595</v>
      </c>
      <c r="W357" s="4" t="s">
        <v>2596</v>
      </c>
      <c r="X357" s="4" t="s">
        <v>79</v>
      </c>
      <c r="Y357" s="4" t="s">
        <v>2597</v>
      </c>
      <c r="Z357" s="4">
        <v>1.05057377100001E14</v>
      </c>
      <c r="AA357" s="4" t="s">
        <v>2612</v>
      </c>
    </row>
    <row r="358" ht="22.5" customHeight="1">
      <c r="A358" s="3">
        <v>46210.6284962037</v>
      </c>
      <c r="B358" s="4">
        <v>2.0</v>
      </c>
      <c r="C358" s="5" t="str">
        <f>IFERROR(__xludf.DUMMYFUNCTION("""COMPUTED_VALUE"""),"L90")</f>
        <v>L90</v>
      </c>
      <c r="D358" s="4">
        <v>4.230108783719E12</v>
      </c>
      <c r="E358" s="4" t="s">
        <v>2613</v>
      </c>
      <c r="F358" s="4" t="s">
        <v>45</v>
      </c>
      <c r="G358" s="4" t="s">
        <v>2614</v>
      </c>
      <c r="H358" s="4" t="s">
        <v>31</v>
      </c>
      <c r="I358" s="4" t="s">
        <v>2615</v>
      </c>
      <c r="J358" s="4" t="s">
        <v>33</v>
      </c>
      <c r="K358" s="4" t="s">
        <v>2616</v>
      </c>
      <c r="L358" s="6">
        <v>46733.0</v>
      </c>
      <c r="M358" s="4">
        <v>4.230108783719E12</v>
      </c>
      <c r="N358" s="6">
        <v>22773.0</v>
      </c>
      <c r="O358" s="4" t="s">
        <v>248</v>
      </c>
      <c r="P358" s="4" t="s">
        <v>2617</v>
      </c>
      <c r="Q358" s="4" t="s">
        <v>37</v>
      </c>
      <c r="R358" s="7" t="s">
        <v>2618</v>
      </c>
      <c r="S358" s="7" t="s">
        <v>2619</v>
      </c>
      <c r="V358" s="4" t="s">
        <v>2620</v>
      </c>
      <c r="W358" s="4">
        <v>4.200037664699E12</v>
      </c>
      <c r="X358" s="4" t="s">
        <v>2621</v>
      </c>
      <c r="Y358" s="7" t="s">
        <v>2622</v>
      </c>
      <c r="Z358" s="4" t="s">
        <v>2623</v>
      </c>
      <c r="AA358" s="4" t="s">
        <v>2624</v>
      </c>
    </row>
    <row r="359" ht="22.5" customHeight="1">
      <c r="A359" s="3">
        <v>46210.63399229167</v>
      </c>
      <c r="B359" s="4">
        <v>2.0</v>
      </c>
      <c r="C359" s="5" t="str">
        <f>IFERROR(__xludf.DUMMYFUNCTION("""COMPUTED_VALUE"""),"L90")</f>
        <v>L90</v>
      </c>
      <c r="D359" s="4">
        <v>4.230108783719E12</v>
      </c>
      <c r="E359" s="4" t="s">
        <v>2613</v>
      </c>
      <c r="F359" s="4" t="s">
        <v>45</v>
      </c>
      <c r="G359" s="4" t="s">
        <v>2625</v>
      </c>
      <c r="H359" s="4" t="s">
        <v>2320</v>
      </c>
      <c r="I359" s="4" t="s">
        <v>2613</v>
      </c>
      <c r="J359" s="4" t="s">
        <v>60</v>
      </c>
      <c r="M359" s="4">
        <v>4.230108022556E12</v>
      </c>
      <c r="N359" s="6">
        <v>25264.0</v>
      </c>
      <c r="O359" s="4" t="s">
        <v>674</v>
      </c>
      <c r="P359" s="4" t="s">
        <v>2626</v>
      </c>
      <c r="Q359" s="4" t="s">
        <v>37</v>
      </c>
      <c r="R359" s="7" t="s">
        <v>2618</v>
      </c>
      <c r="S359" s="7" t="s">
        <v>2619</v>
      </c>
      <c r="T359" s="4" t="s">
        <v>2613</v>
      </c>
      <c r="U359" s="4" t="s">
        <v>67</v>
      </c>
      <c r="V359" s="4" t="s">
        <v>2620</v>
      </c>
      <c r="W359" s="4">
        <v>4.200037664699E12</v>
      </c>
      <c r="X359" s="4" t="s">
        <v>79</v>
      </c>
      <c r="Y359" s="7" t="s">
        <v>2622</v>
      </c>
      <c r="Z359" s="4" t="s">
        <v>2627</v>
      </c>
      <c r="AA359" s="4" t="s">
        <v>2624</v>
      </c>
    </row>
    <row r="360" ht="22.5" customHeight="1">
      <c r="A360" s="3">
        <v>46210.64301799769</v>
      </c>
      <c r="B360" s="4">
        <v>1.0</v>
      </c>
      <c r="C360" s="5" t="str">
        <f>IFERROR(__xludf.DUMMYFUNCTION("""COMPUTED_VALUE"""),"L72")</f>
        <v>L72</v>
      </c>
      <c r="D360" s="4" t="s">
        <v>2628</v>
      </c>
      <c r="E360" s="4" t="s">
        <v>2629</v>
      </c>
      <c r="F360" s="4" t="s">
        <v>45</v>
      </c>
      <c r="G360" s="4" t="s">
        <v>2630</v>
      </c>
      <c r="H360" s="4" t="s">
        <v>291</v>
      </c>
      <c r="I360" s="4" t="s">
        <v>2631</v>
      </c>
      <c r="J360" s="4" t="s">
        <v>33</v>
      </c>
      <c r="K360" s="4" t="s">
        <v>2632</v>
      </c>
      <c r="L360" s="6">
        <v>48812.0</v>
      </c>
      <c r="M360" s="4" t="s">
        <v>2633</v>
      </c>
      <c r="N360" s="6">
        <v>26699.0</v>
      </c>
      <c r="O360" s="4" t="s">
        <v>148</v>
      </c>
      <c r="P360" s="4" t="s">
        <v>2634</v>
      </c>
      <c r="Q360" s="4" t="s">
        <v>119</v>
      </c>
      <c r="R360" s="7" t="s">
        <v>2635</v>
      </c>
      <c r="S360" s="7" t="s">
        <v>2635</v>
      </c>
      <c r="V360" s="4" t="s">
        <v>2368</v>
      </c>
      <c r="W360" s="4" t="s">
        <v>2636</v>
      </c>
      <c r="X360" s="4" t="s">
        <v>272</v>
      </c>
      <c r="Y360" s="7" t="s">
        <v>2637</v>
      </c>
      <c r="Z360" s="4" t="s">
        <v>2638</v>
      </c>
      <c r="AA360" s="4" t="s">
        <v>1126</v>
      </c>
    </row>
    <row r="361" ht="22.5" customHeight="1">
      <c r="A361" s="3">
        <v>46210.66009006945</v>
      </c>
      <c r="B361" s="4">
        <v>2.0</v>
      </c>
      <c r="C361" s="5" t="str">
        <f>IFERROR(__xludf.DUMMYFUNCTION("""COMPUTED_VALUE"""),"S67")</f>
        <v>S67</v>
      </c>
      <c r="D361" s="4" t="s">
        <v>2639</v>
      </c>
      <c r="E361" s="4" t="s">
        <v>2640</v>
      </c>
      <c r="F361" s="4" t="s">
        <v>29</v>
      </c>
      <c r="G361" s="4" t="s">
        <v>251</v>
      </c>
      <c r="H361" s="4" t="s">
        <v>2641</v>
      </c>
      <c r="I361" s="4" t="s">
        <v>2036</v>
      </c>
      <c r="J361" s="4" t="s">
        <v>33</v>
      </c>
      <c r="K361" s="4" t="s">
        <v>2642</v>
      </c>
      <c r="L361" s="6">
        <v>49143.0</v>
      </c>
      <c r="M361" s="4" t="s">
        <v>2639</v>
      </c>
      <c r="N361" s="6">
        <v>36618.0</v>
      </c>
      <c r="O361" s="4" t="s">
        <v>160</v>
      </c>
      <c r="P361" s="4" t="s">
        <v>2643</v>
      </c>
      <c r="Q361" s="4" t="s">
        <v>133</v>
      </c>
      <c r="R361" s="4" t="s">
        <v>2644</v>
      </c>
      <c r="S361" s="4" t="s">
        <v>2644</v>
      </c>
      <c r="V361" s="4" t="s">
        <v>2036</v>
      </c>
      <c r="W361" s="4" t="s">
        <v>2645</v>
      </c>
      <c r="X361" s="4" t="s">
        <v>40</v>
      </c>
      <c r="Y361" s="4" t="s">
        <v>2646</v>
      </c>
      <c r="Z361" s="4" t="s">
        <v>2647</v>
      </c>
      <c r="AA361" s="4" t="s">
        <v>2640</v>
      </c>
    </row>
    <row r="362" ht="22.5" customHeight="1">
      <c r="A362" s="10"/>
      <c r="B362" s="10"/>
      <c r="C362" s="10" t="str">
        <f>IFERROR(__xludf.DUMMYFUNCTION("""COMPUTED_VALUE"""),"")</f>
        <v/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C363" s="11" t="str">
        <f>IFERROR(__xludf.DUMMYFUNCTION("""COMPUTED_VALUE"""),"")</f>
        <v/>
      </c>
    </row>
    <row r="364">
      <c r="C364" s="11" t="str">
        <f>IFERROR(__xludf.DUMMYFUNCTION("""COMPUTED_VALUE"""),"")</f>
        <v/>
      </c>
    </row>
    <row r="365">
      <c r="C365" s="11" t="str">
        <f>IFERROR(__xludf.DUMMYFUNCTION("""COMPUTED_VALUE"""),"")</f>
        <v/>
      </c>
    </row>
    <row r="366">
      <c r="C366" s="11" t="str">
        <f>IFERROR(__xludf.DUMMYFUNCTION("""COMPUTED_VALUE"""),"")</f>
        <v/>
      </c>
    </row>
    <row r="367">
      <c r="C367" s="11" t="str">
        <f>IFERROR(__xludf.DUMMYFUNCTION("""COMPUTED_VALUE"""),"")</f>
        <v/>
      </c>
    </row>
    <row r="368">
      <c r="C368" s="11" t="str">
        <f>IFERROR(__xludf.DUMMYFUNCTION("""COMPUTED_VALUE"""),"")</f>
        <v/>
      </c>
    </row>
    <row r="369">
      <c r="C369" s="11" t="str">
        <f>IFERROR(__xludf.DUMMYFUNCTION("""COMPUTED_VALUE"""),"")</f>
        <v/>
      </c>
    </row>
    <row r="370">
      <c r="C370" s="11" t="str">
        <f>IFERROR(__xludf.DUMMYFUNCTION("""COMPUTED_VALUE"""),"")</f>
        <v/>
      </c>
    </row>
    <row r="371">
      <c r="C371" s="11" t="str">
        <f>IFERROR(__xludf.DUMMYFUNCTION("""COMPUTED_VALUE"""),"")</f>
        <v/>
      </c>
    </row>
    <row r="372">
      <c r="C372" s="11" t="str">
        <f>IFERROR(__xludf.DUMMYFUNCTION("""COMPUTED_VALUE"""),"")</f>
        <v/>
      </c>
    </row>
    <row r="373">
      <c r="C373" s="11" t="str">
        <f>IFERROR(__xludf.DUMMYFUNCTION("""COMPUTED_VALUE"""),"")</f>
        <v/>
      </c>
    </row>
    <row r="374">
      <c r="C374" s="11" t="str">
        <f>IFERROR(__xludf.DUMMYFUNCTION("""COMPUTED_VALUE"""),"")</f>
        <v/>
      </c>
    </row>
    <row r="375">
      <c r="C375" s="11" t="str">
        <f>IFERROR(__xludf.DUMMYFUNCTION("""COMPUTED_VALUE"""),"")</f>
        <v/>
      </c>
    </row>
    <row r="376">
      <c r="C376" s="11" t="str">
        <f>IFERROR(__xludf.DUMMYFUNCTION("""COMPUTED_VALUE"""),"")</f>
        <v/>
      </c>
    </row>
    <row r="377">
      <c r="C377" s="11" t="str">
        <f>IFERROR(__xludf.DUMMYFUNCTION("""COMPUTED_VALUE"""),"")</f>
        <v/>
      </c>
    </row>
    <row r="378">
      <c r="C378" s="11" t="str">
        <f>IFERROR(__xludf.DUMMYFUNCTION("""COMPUTED_VALUE"""),"")</f>
        <v/>
      </c>
    </row>
    <row r="379">
      <c r="C379" s="11" t="str">
        <f>IFERROR(__xludf.DUMMYFUNCTION("""COMPUTED_VALUE"""),"")</f>
        <v/>
      </c>
    </row>
    <row r="380">
      <c r="C380" s="11" t="str">
        <f>IFERROR(__xludf.DUMMYFUNCTION("""COMPUTED_VALUE"""),"")</f>
        <v/>
      </c>
    </row>
    <row r="381">
      <c r="C381" s="11" t="str">
        <f>IFERROR(__xludf.DUMMYFUNCTION("""COMPUTED_VALUE"""),"")</f>
        <v/>
      </c>
    </row>
    <row r="382">
      <c r="C382" s="11" t="str">
        <f>IFERROR(__xludf.DUMMYFUNCTION("""COMPUTED_VALUE"""),"")</f>
        <v/>
      </c>
    </row>
    <row r="383">
      <c r="C383" s="11" t="str">
        <f>IFERROR(__xludf.DUMMYFUNCTION("""COMPUTED_VALUE"""),"")</f>
        <v/>
      </c>
    </row>
    <row r="384">
      <c r="C384" s="11" t="str">
        <f>IFERROR(__xludf.DUMMYFUNCTION("""COMPUTED_VALUE"""),"")</f>
        <v/>
      </c>
    </row>
    <row r="385">
      <c r="C385" s="11" t="str">
        <f>IFERROR(__xludf.DUMMYFUNCTION("""COMPUTED_VALUE"""),"")</f>
        <v/>
      </c>
    </row>
    <row r="386">
      <c r="C386" s="11" t="str">
        <f>IFERROR(__xludf.DUMMYFUNCTION("""COMPUTED_VALUE"""),"")</f>
        <v/>
      </c>
    </row>
    <row r="387">
      <c r="C387" s="11" t="str">
        <f>IFERROR(__xludf.DUMMYFUNCTION("""COMPUTED_VALUE"""),"")</f>
        <v/>
      </c>
    </row>
    <row r="388">
      <c r="C388" s="11" t="str">
        <f>IFERROR(__xludf.DUMMYFUNCTION("""COMPUTED_VALUE"""),"")</f>
        <v/>
      </c>
    </row>
    <row r="389">
      <c r="C389" s="11" t="str">
        <f>IFERROR(__xludf.DUMMYFUNCTION("""COMPUTED_VALUE"""),"")</f>
        <v/>
      </c>
    </row>
    <row r="390">
      <c r="C390" s="11" t="str">
        <f>IFERROR(__xludf.DUMMYFUNCTION("""COMPUTED_VALUE"""),"")</f>
        <v/>
      </c>
    </row>
    <row r="391">
      <c r="C391" s="11" t="str">
        <f>IFERROR(__xludf.DUMMYFUNCTION("""COMPUTED_VALUE"""),"")</f>
        <v/>
      </c>
    </row>
    <row r="392">
      <c r="C392" s="11" t="str">
        <f>IFERROR(__xludf.DUMMYFUNCTION("""COMPUTED_VALUE"""),"")</f>
        <v/>
      </c>
    </row>
    <row r="393">
      <c r="C393" s="11" t="str">
        <f>IFERROR(__xludf.DUMMYFUNCTION("""COMPUTED_VALUE"""),"")</f>
        <v/>
      </c>
    </row>
    <row r="394">
      <c r="C394" s="11" t="str">
        <f>IFERROR(__xludf.DUMMYFUNCTION("""COMPUTED_VALUE"""),"")</f>
        <v/>
      </c>
    </row>
    <row r="395">
      <c r="C395" s="11" t="str">
        <f>IFERROR(__xludf.DUMMYFUNCTION("""COMPUTED_VALUE"""),"")</f>
        <v/>
      </c>
    </row>
    <row r="396">
      <c r="C396" s="11" t="str">
        <f>IFERROR(__xludf.DUMMYFUNCTION("""COMPUTED_VALUE"""),"")</f>
        <v/>
      </c>
    </row>
    <row r="397">
      <c r="C397" s="11" t="str">
        <f>IFERROR(__xludf.DUMMYFUNCTION("""COMPUTED_VALUE"""),"")</f>
        <v/>
      </c>
    </row>
    <row r="398">
      <c r="C398" s="11" t="str">
        <f>IFERROR(__xludf.DUMMYFUNCTION("""COMPUTED_VALUE"""),"")</f>
        <v/>
      </c>
    </row>
    <row r="399">
      <c r="C399" s="11" t="str">
        <f>IFERROR(__xludf.DUMMYFUNCTION("""COMPUTED_VALUE"""),"")</f>
        <v/>
      </c>
    </row>
    <row r="400">
      <c r="C400" s="11" t="str">
        <f>IFERROR(__xludf.DUMMYFUNCTION("""COMPUTED_VALUE"""),"")</f>
        <v/>
      </c>
    </row>
    <row r="401">
      <c r="C401" s="11" t="str">
        <f>IFERROR(__xludf.DUMMYFUNCTION("""COMPUTED_VALUE"""),"")</f>
        <v/>
      </c>
    </row>
    <row r="402">
      <c r="C402" s="11" t="str">
        <f>IFERROR(__xludf.DUMMYFUNCTION("""COMPUTED_VALUE"""),"")</f>
        <v/>
      </c>
    </row>
    <row r="403">
      <c r="C403" s="11" t="str">
        <f>IFERROR(__xludf.DUMMYFUNCTION("""COMPUTED_VALUE"""),"")</f>
        <v/>
      </c>
    </row>
    <row r="404">
      <c r="C404" s="11" t="str">
        <f>IFERROR(__xludf.DUMMYFUNCTION("""COMPUTED_VALUE"""),"")</f>
        <v/>
      </c>
    </row>
    <row r="405">
      <c r="C405" s="11" t="str">
        <f>IFERROR(__xludf.DUMMYFUNCTION("""COMPUTED_VALUE"""),"")</f>
        <v/>
      </c>
    </row>
    <row r="406">
      <c r="C406" s="11" t="str">
        <f>IFERROR(__xludf.DUMMYFUNCTION("""COMPUTED_VALUE"""),"")</f>
        <v/>
      </c>
    </row>
    <row r="407">
      <c r="C407" s="11" t="str">
        <f>IFERROR(__xludf.DUMMYFUNCTION("""COMPUTED_VALUE"""),"")</f>
        <v/>
      </c>
    </row>
    <row r="408">
      <c r="C408" s="11" t="str">
        <f>IFERROR(__xludf.DUMMYFUNCTION("""COMPUTED_VALUE"""),"")</f>
        <v/>
      </c>
    </row>
    <row r="409">
      <c r="C409" s="11" t="str">
        <f>IFERROR(__xludf.DUMMYFUNCTION("""COMPUTED_VALUE"""),"")</f>
        <v/>
      </c>
    </row>
    <row r="410">
      <c r="C410" s="11" t="str">
        <f>IFERROR(__xludf.DUMMYFUNCTION("""COMPUTED_VALUE"""),"")</f>
        <v/>
      </c>
    </row>
    <row r="411">
      <c r="C411" s="11" t="str">
        <f>IFERROR(__xludf.DUMMYFUNCTION("""COMPUTED_VALUE"""),"")</f>
        <v/>
      </c>
    </row>
    <row r="412">
      <c r="C412" s="11" t="str">
        <f>IFERROR(__xludf.DUMMYFUNCTION("""COMPUTED_VALUE"""),"")</f>
        <v/>
      </c>
    </row>
    <row r="413">
      <c r="C413" s="11" t="str">
        <f>IFERROR(__xludf.DUMMYFUNCTION("""COMPUTED_VALUE"""),"")</f>
        <v/>
      </c>
    </row>
    <row r="414">
      <c r="C414" s="11" t="str">
        <f>IFERROR(__xludf.DUMMYFUNCTION("""COMPUTED_VALUE"""),"")</f>
        <v/>
      </c>
    </row>
    <row r="415">
      <c r="C415" s="11" t="str">
        <f>IFERROR(__xludf.DUMMYFUNCTION("""COMPUTED_VALUE"""),"")</f>
        <v/>
      </c>
    </row>
    <row r="416">
      <c r="C416" s="11" t="str">
        <f>IFERROR(__xludf.DUMMYFUNCTION("""COMPUTED_VALUE"""),"")</f>
        <v/>
      </c>
    </row>
    <row r="417">
      <c r="C417" s="11" t="str">
        <f>IFERROR(__xludf.DUMMYFUNCTION("""COMPUTED_VALUE"""),"")</f>
        <v/>
      </c>
    </row>
    <row r="418">
      <c r="C418" s="11" t="str">
        <f>IFERROR(__xludf.DUMMYFUNCTION("""COMPUTED_VALUE"""),"")</f>
        <v/>
      </c>
    </row>
    <row r="419">
      <c r="C419" s="11" t="str">
        <f>IFERROR(__xludf.DUMMYFUNCTION("""COMPUTED_VALUE"""),"")</f>
        <v/>
      </c>
    </row>
    <row r="420">
      <c r="C420" s="11" t="str">
        <f>IFERROR(__xludf.DUMMYFUNCTION("""COMPUTED_VALUE"""),"")</f>
        <v/>
      </c>
    </row>
    <row r="421">
      <c r="C421" s="11" t="str">
        <f>IFERROR(__xludf.DUMMYFUNCTION("""COMPUTED_VALUE"""),"")</f>
        <v/>
      </c>
    </row>
    <row r="422">
      <c r="C422" s="11" t="str">
        <f>IFERROR(__xludf.DUMMYFUNCTION("""COMPUTED_VALUE"""),"")</f>
        <v/>
      </c>
    </row>
    <row r="423">
      <c r="C423" s="11" t="str">
        <f>IFERROR(__xludf.DUMMYFUNCTION("""COMPUTED_VALUE"""),"")</f>
        <v/>
      </c>
    </row>
    <row r="424">
      <c r="C424" s="11" t="str">
        <f>IFERROR(__xludf.DUMMYFUNCTION("""COMPUTED_VALUE"""),"")</f>
        <v/>
      </c>
    </row>
    <row r="425">
      <c r="C425" s="11" t="str">
        <f>IFERROR(__xludf.DUMMYFUNCTION("""COMPUTED_VALUE"""),"")</f>
        <v/>
      </c>
    </row>
    <row r="426">
      <c r="C426" s="11" t="str">
        <f>IFERROR(__xludf.DUMMYFUNCTION("""COMPUTED_VALUE"""),"")</f>
        <v/>
      </c>
    </row>
    <row r="427">
      <c r="C427" s="11" t="str">
        <f>IFERROR(__xludf.DUMMYFUNCTION("""COMPUTED_VALUE"""),"")</f>
        <v/>
      </c>
    </row>
    <row r="428">
      <c r="C428" s="11" t="str">
        <f>IFERROR(__xludf.DUMMYFUNCTION("""COMPUTED_VALUE"""),"")</f>
        <v/>
      </c>
    </row>
    <row r="429">
      <c r="C429" s="11" t="str">
        <f>IFERROR(__xludf.DUMMYFUNCTION("""COMPUTED_VALUE"""),"")</f>
        <v/>
      </c>
    </row>
    <row r="430">
      <c r="C430" s="11" t="str">
        <f>IFERROR(__xludf.DUMMYFUNCTION("""COMPUTED_VALUE"""),"")</f>
        <v/>
      </c>
    </row>
    <row r="431">
      <c r="C431" s="11" t="str">
        <f>IFERROR(__xludf.DUMMYFUNCTION("""COMPUTED_VALUE"""),"")</f>
        <v/>
      </c>
    </row>
    <row r="432">
      <c r="C432" s="11" t="str">
        <f>IFERROR(__xludf.DUMMYFUNCTION("""COMPUTED_VALUE"""),"")</f>
        <v/>
      </c>
    </row>
    <row r="433">
      <c r="C433" s="11" t="str">
        <f>IFERROR(__xludf.DUMMYFUNCTION("""COMPUTED_VALUE"""),"")</f>
        <v/>
      </c>
    </row>
    <row r="434">
      <c r="C434" s="11" t="str">
        <f>IFERROR(__xludf.DUMMYFUNCTION("""COMPUTED_VALUE"""),"")</f>
        <v/>
      </c>
    </row>
    <row r="435">
      <c r="C435" s="11" t="str">
        <f>IFERROR(__xludf.DUMMYFUNCTION("""COMPUTED_VALUE"""),"")</f>
        <v/>
      </c>
    </row>
    <row r="436">
      <c r="C436" s="11" t="str">
        <f>IFERROR(__xludf.DUMMYFUNCTION("""COMPUTED_VALUE"""),"")</f>
        <v/>
      </c>
    </row>
    <row r="437">
      <c r="C437" s="11" t="str">
        <f>IFERROR(__xludf.DUMMYFUNCTION("""COMPUTED_VALUE"""),"")</f>
        <v/>
      </c>
    </row>
    <row r="438">
      <c r="C438" s="11" t="str">
        <f>IFERROR(__xludf.DUMMYFUNCTION("""COMPUTED_VALUE"""),"")</f>
        <v/>
      </c>
    </row>
    <row r="439">
      <c r="C439" s="11" t="str">
        <f>IFERROR(__xludf.DUMMYFUNCTION("""COMPUTED_VALUE"""),"")</f>
        <v/>
      </c>
    </row>
    <row r="440">
      <c r="C440" s="11" t="str">
        <f>IFERROR(__xludf.DUMMYFUNCTION("""COMPUTED_VALUE"""),"")</f>
        <v/>
      </c>
    </row>
    <row r="441">
      <c r="C441" s="11" t="str">
        <f>IFERROR(__xludf.DUMMYFUNCTION("""COMPUTED_VALUE"""),"")</f>
        <v/>
      </c>
    </row>
    <row r="442">
      <c r="C442" s="11" t="str">
        <f>IFERROR(__xludf.DUMMYFUNCTION("""COMPUTED_VALUE"""),"")</f>
        <v/>
      </c>
    </row>
    <row r="443">
      <c r="C443" s="11" t="str">
        <f>IFERROR(__xludf.DUMMYFUNCTION("""COMPUTED_VALUE"""),"")</f>
        <v/>
      </c>
    </row>
    <row r="444">
      <c r="C444" s="11" t="str">
        <f>IFERROR(__xludf.DUMMYFUNCTION("""COMPUTED_VALUE"""),"")</f>
        <v/>
      </c>
    </row>
    <row r="445">
      <c r="C445" s="11" t="str">
        <f>IFERROR(__xludf.DUMMYFUNCTION("""COMPUTED_VALUE"""),"")</f>
        <v/>
      </c>
    </row>
    <row r="446">
      <c r="C446" s="11" t="str">
        <f>IFERROR(__xludf.DUMMYFUNCTION("""COMPUTED_VALUE"""),"")</f>
        <v/>
      </c>
    </row>
    <row r="447">
      <c r="C447" s="11" t="str">
        <f>IFERROR(__xludf.DUMMYFUNCTION("""COMPUTED_VALUE"""),"")</f>
        <v/>
      </c>
    </row>
    <row r="448">
      <c r="C448" s="11" t="str">
        <f>IFERROR(__xludf.DUMMYFUNCTION("""COMPUTED_VALUE"""),"")</f>
        <v/>
      </c>
    </row>
    <row r="449">
      <c r="C449" s="11" t="str">
        <f>IFERROR(__xludf.DUMMYFUNCTION("""COMPUTED_VALUE"""),"")</f>
        <v/>
      </c>
    </row>
    <row r="450">
      <c r="C450" s="11" t="str">
        <f>IFERROR(__xludf.DUMMYFUNCTION("""COMPUTED_VALUE"""),"")</f>
        <v/>
      </c>
    </row>
    <row r="451">
      <c r="C451" s="11" t="str">
        <f>IFERROR(__xludf.DUMMYFUNCTION("""COMPUTED_VALUE"""),"")</f>
        <v/>
      </c>
    </row>
    <row r="452">
      <c r="C452" s="11" t="str">
        <f>IFERROR(__xludf.DUMMYFUNCTION("""COMPUTED_VALUE"""),"")</f>
        <v/>
      </c>
    </row>
    <row r="453">
      <c r="C453" s="11" t="str">
        <f>IFERROR(__xludf.DUMMYFUNCTION("""COMPUTED_VALUE"""),"")</f>
        <v/>
      </c>
    </row>
    <row r="454">
      <c r="C454" s="11" t="str">
        <f>IFERROR(__xludf.DUMMYFUNCTION("""COMPUTED_VALUE"""),"")</f>
        <v/>
      </c>
    </row>
    <row r="455">
      <c r="C455" s="11" t="str">
        <f>IFERROR(__xludf.DUMMYFUNCTION("""COMPUTED_VALUE"""),"")</f>
        <v/>
      </c>
    </row>
    <row r="456">
      <c r="C456" s="11" t="str">
        <f>IFERROR(__xludf.DUMMYFUNCTION("""COMPUTED_VALUE"""),"")</f>
        <v/>
      </c>
    </row>
    <row r="457">
      <c r="C457" s="11" t="str">
        <f>IFERROR(__xludf.DUMMYFUNCTION("""COMPUTED_VALUE"""),"")</f>
        <v/>
      </c>
    </row>
    <row r="458">
      <c r="C458" s="11" t="str">
        <f>IFERROR(__xludf.DUMMYFUNCTION("""COMPUTED_VALUE"""),"")</f>
        <v/>
      </c>
    </row>
    <row r="459">
      <c r="C459" s="11" t="str">
        <f>IFERROR(__xludf.DUMMYFUNCTION("""COMPUTED_VALUE"""),"")</f>
        <v/>
      </c>
    </row>
    <row r="460">
      <c r="C460" s="11" t="str">
        <f>IFERROR(__xludf.DUMMYFUNCTION("""COMPUTED_VALUE"""),"")</f>
        <v/>
      </c>
    </row>
    <row r="461">
      <c r="C461" s="11" t="str">
        <f>IFERROR(__xludf.DUMMYFUNCTION("""COMPUTED_VALUE"""),"")</f>
        <v/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